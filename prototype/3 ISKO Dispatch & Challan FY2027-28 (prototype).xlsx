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WC Entry" sheetId="2" state="visible" r:id="rId2"/>
    <sheet xmlns:r="http://schemas.openxmlformats.org/officeDocument/2006/relationships" name="Coater Move Entry" sheetId="3" state="visible" r:id="rId3"/>
    <sheet xmlns:r="http://schemas.openxmlformats.org/officeDocument/2006/relationships" name="DC Entry" sheetId="4" state="visible" r:id="rId4"/>
    <sheet xmlns:r="http://schemas.openxmlformats.org/officeDocument/2006/relationships" name="Requirement Register" sheetId="5" state="visible" r:id="rId5"/>
    <sheet xmlns:r="http://schemas.openxmlformats.org/officeDocument/2006/relationships" name="JWC Header Register" sheetId="6" state="visible" r:id="rId6"/>
    <sheet xmlns:r="http://schemas.openxmlformats.org/officeDocument/2006/relationships" name="JWC Line Register" sheetId="7" state="visible" r:id="rId7"/>
    <sheet xmlns:r="http://schemas.openxmlformats.org/officeDocument/2006/relationships" name="Coater Move Register" sheetId="8" state="visible" r:id="rId8"/>
    <sheet xmlns:r="http://schemas.openxmlformats.org/officeDocument/2006/relationships" name="DC Header Register" sheetId="9" state="visible" r:id="rId9"/>
    <sheet xmlns:r="http://schemas.openxmlformats.org/officeDocument/2006/relationships" name="DC Line Register" sheetId="10" state="visible" r:id="rId10"/>
    <sheet xmlns:r="http://schemas.openxmlformats.org/officeDocument/2006/relationships" name="Open JWC Balance" sheetId="11" state="visible" r:id="rId11"/>
    <sheet xmlns:r="http://schemas.openxmlformats.org/officeDocument/2006/relationships" name="FG Balance" sheetId="12" state="visible" r:id="rId12"/>
    <sheet xmlns:r="http://schemas.openxmlformats.org/officeDocument/2006/relationships" name="M_Customer" sheetId="13" state="visible" r:id="rId13"/>
    <sheet xmlns:r="http://schemas.openxmlformats.org/officeDocument/2006/relationships" name="Customer Price &amp; UOM" sheetId="14" state="visible" r:id="rId14"/>
    <sheet xmlns:r="http://schemas.openxmlformats.org/officeDocument/2006/relationships" name="M_Vendor" sheetId="15" state="visible" r:id="rId15"/>
    <sheet xmlns:r="http://schemas.openxmlformats.org/officeDocument/2006/relationships" name="Coater Rate" sheetId="16" state="visible" r:id="rId16"/>
    <sheet xmlns:r="http://schemas.openxmlformats.org/officeDocument/2006/relationships" name="X_Product" sheetId="17" state="visible" r:id="rId17"/>
    <sheet xmlns:r="http://schemas.openxmlformats.org/officeDocument/2006/relationships" name="X_ProdOutput" sheetId="18" state="visible" r:id="rId18"/>
    <sheet xmlns:r="http://schemas.openxmlformats.org/officeDocument/2006/relationships" name="Control Totals" sheetId="19" state="visible" r:id="rId19"/>
    <sheet xmlns:r="http://schemas.openxmlformats.org/officeDocument/2006/relationships" name="Settings" sheetId="20" state="visible" r:id="rId20"/>
    <sheet xmlns:r="http://schemas.openxmlformats.org/officeDocument/2006/relationships" name="Lis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#,##0.000"/>
    <numFmt numFmtId="167" formatCode="yyyy-mm-dd h:mm:ss"/>
    <numFmt numFmtId="168" formatCode="dd-mmm-yy hh:mm"/>
  </numFmts>
  <fonts count="10">
    <font>
      <name val="Calibri"/>
      <family val="2"/>
      <color theme="1"/>
      <sz val="11"/>
      <scheme val="minor"/>
    </font>
    <font>
      <b val="1"/>
      <color rgb="00243247"/>
      <sz val="14"/>
    </font>
    <font>
      <i val="1"/>
      <color rgb="00B5525A"/>
      <sz val="9"/>
    </font>
    <font>
      <b val="1"/>
      <color rgb="00243247"/>
      <sz val="10"/>
    </font>
    <font>
      <color rgb="00243247"/>
      <sz val="10"/>
    </font>
    <font>
      <b val="1"/>
      <color rgb="00243247"/>
      <sz val="9.5"/>
    </font>
    <font>
      <color rgb="00243247"/>
      <sz val="9.5"/>
    </font>
    <font>
      <b val="1"/>
      <color rgb="00243247"/>
      <sz val="13"/>
    </font>
    <font>
      <i val="1"/>
      <color rgb="005A6B82"/>
      <sz val="9"/>
    </font>
    <font>
      <b val="1"/>
      <color rgb="00243247"/>
      <sz val="9"/>
    </font>
  </fonts>
  <fills count="11">
    <fill>
      <patternFill/>
    </fill>
    <fill>
      <patternFill patternType="gray125"/>
    </fill>
    <fill>
      <patternFill patternType="solid">
        <fgColor rgb="00EAE4F8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E2F0E8"/>
      </patternFill>
    </fill>
    <fill>
      <patternFill patternType="solid">
        <fgColor rgb="00F7F9FC"/>
      </patternFill>
    </fill>
    <fill>
      <patternFill patternType="solid">
        <fgColor rgb="00F8DCDD"/>
      </patternFill>
    </fill>
    <fill>
      <patternFill patternType="solid">
        <fgColor rgb="00FCECC9"/>
      </patternFill>
    </fill>
    <fill>
      <patternFill patternType="solid">
        <fgColor rgb="00D9F0EF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6" fillId="6" borderId="1" pivotButton="0" quotePrefix="0" xfId="0"/>
    <xf numFmtId="0" fontId="6" fillId="5" borderId="1" pivotButton="0" quotePrefix="0" xfId="0"/>
    <xf numFmtId="0" fontId="6" fillId="4" borderId="1" pivotButton="0" quotePrefix="0" xfId="0"/>
    <xf numFmtId="166" fontId="6" fillId="5" borderId="1" pivotButton="0" quotePrefix="0" xfId="0"/>
    <xf numFmtId="4" fontId="6" fillId="5" borderId="1" pivotButton="0" quotePrefix="0" xfId="0"/>
    <xf numFmtId="0" fontId="6" fillId="3" borderId="1" pivotButton="0" quotePrefix="0" xfId="0"/>
    <xf numFmtId="165" fontId="6" fillId="4" borderId="1" pivotButton="0" quotePrefix="0" xfId="0"/>
    <xf numFmtId="165" fontId="6" fillId="5" borderId="1" pivotButton="0" quotePrefix="0" xfId="0"/>
    <xf numFmtId="0" fontId="6" fillId="9" borderId="1" pivotButton="0" quotePrefix="0" xfId="0"/>
    <xf numFmtId="168" fontId="6" fillId="5" borderId="1" pivotButton="0" quotePrefix="0" xfId="0"/>
    <xf numFmtId="0" fontId="9" fillId="2" borderId="1" pivotButton="0" quotePrefix="0" xfId="0"/>
    <xf numFmtId="0" fontId="9" fillId="9" borderId="1" pivotButton="0" quotePrefix="0" xfId="0"/>
    <xf numFmtId="165" fontId="6" fillId="6" borderId="1" pivotButton="0" quotePrefix="0" xfId="0"/>
    <xf numFmtId="166" fontId="6" fillId="4" borderId="1" pivotButton="0" quotePrefix="0" xfId="0"/>
    <xf numFmtId="4" fontId="6" fillId="4" borderId="1" pivotButton="0" quotePrefix="0" xfId="0"/>
    <xf numFmtId="166" fontId="6" fillId="6" borderId="1" pivotButton="0" quotePrefix="0" xfId="0"/>
    <xf numFmtId="0" fontId="6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E8"/>
        </patternFill>
      </fill>
    </dxf>
    <dxf>
      <fill>
        <patternFill patternType="solid">
          <fgColor rgb="00FCECC9"/>
        </patternFill>
      </fill>
    </dxf>
    <dxf>
      <fill>
        <patternFill patternType="solid">
          <fgColor rgb="00F8DC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blRequirementRegister" displayName="tblRequirementRegister" ref="A4:L7" headerRowCount="1">
  <autoFilter ref="A4:L7"/>
  <tableColumns count="12">
    <tableColumn id="1" name="Req ID"/>
    <tableColumn id="2" name="Version"/>
    <tableColumn id="3" name="Revises"/>
    <tableColumn id="4" name="Entry Date"/>
    <tableColumn id="5" name="Customer ID"/>
    <tableColumn id="6" name="Product ID"/>
    <tableColumn id="7" name="Required Qty"/>
    <tableColumn id="8" name="Required Date"/>
    <tableColumn id="9" name="Priority"/>
    <tableColumn id="10" name="Status"/>
    <tableColumn id="11" name="Dispatched Qty"/>
    <tableColumn id="12" name="Pending Qty"/>
  </tableColumns>
  <tableStyleInfo name="TableStyleLight1" showRowStripes="0"/>
</table>
</file>

<file path=xl/tables/table2.xml><?xml version="1.0" encoding="utf-8"?>
<table xmlns="http://schemas.openxmlformats.org/spreadsheetml/2006/main" id="2" name="tblJwcHeaderRegister" displayName="tblJwcHeaderRegister" ref="A4:I6" headerRowCount="1">
  <autoFilter ref="A4:I6"/>
  <tableColumns count="9">
    <tableColumn id="1" name="JWC No"/>
    <tableColumn id="2" name="JWC Date"/>
    <tableColumn id="3" name="Vendor ID"/>
    <tableColumn id="4" name="Vendor Name"/>
    <tableColumn id="5" name="Vehicle No"/>
    <tableColumn id="6" name="e-Way Bill"/>
    <tableColumn id="7" name="Purpose"/>
    <tableColumn id="8" name="Status"/>
    <tableColumn id="9" name="Posted At"/>
  </tableColumns>
  <tableStyleInfo name="TableStyleLight1" showRowStripes="0"/>
</table>
</file>

<file path=xl/tables/table3.xml><?xml version="1.0" encoding="utf-8"?>
<table xmlns="http://schemas.openxmlformats.org/spreadsheetml/2006/main" id="3" name="tblJwcLineRegister" displayName="tblJwcLineRegister" ref="A4:M6" headerRowCount="1">
  <autoFilter ref="A4:M6"/>
  <tableColumns count="13">
    <tableColumn id="1" name="JWC Line ID"/>
    <tableColumn id="2" name="JWC No"/>
    <tableColumn id="3" name="JWC Date"/>
    <tableColumn id="4" name="Vendor ID"/>
    <tableColumn id="5" name="Batch ID"/>
    <tableColumn id="6" name="Part ID"/>
    <tableColumn id="7" name="Qty NOS"/>
    <tableColumn id="8" name="Wt kg"/>
    <tableColumn id="9" name="Sq ft"/>
    <tableColumn id="10" name="Basis"/>
    <tableColumn id="11" name="PC Rate"/>
    <tableColumn id="12" name="PC Cost Rs"/>
    <tableColumn id="13" name="Posted At"/>
  </tableColumns>
  <tableStyleInfo name="TableStyleLight1" showRowStripes="0"/>
</table>
</file>

<file path=xl/tables/table4.xml><?xml version="1.0" encoding="utf-8"?>
<table xmlns="http://schemas.openxmlformats.org/spreadsheetml/2006/main" id="4" name="tblCoaterMoveRegister" displayName="tblCoaterMoveRegister" ref="A4:M7" headerRowCount="1">
  <autoFilter ref="A4:M7"/>
  <tableColumns count="13">
    <tableColumn id="1" name="Coater Move ID"/>
    <tableColumn id="2" name="Move Date"/>
    <tableColumn id="3" name="Move Type"/>
    <tableColumn id="4" name="Vendor ID"/>
    <tableColumn id="5" name="JWC Line ID"/>
    <tableColumn id="6" name="Part ID"/>
    <tableColumn id="7" name="Qty NOS"/>
    <tableColumn id="8" name="Wt kg"/>
    <tableColumn id="9" name="Whose Fault"/>
    <tableColumn id="10" name="Decision"/>
    <tableColumn id="11" name="Debit Rs"/>
    <tableColumn id="12" name="Coater Challan"/>
    <tableColumn id="13" name="Posted At"/>
  </tableColumns>
  <tableStyleInfo name="TableStyleLight1" showRowStripes="0"/>
</table>
</file>

<file path=xl/tables/table5.xml><?xml version="1.0" encoding="utf-8"?>
<table xmlns="http://schemas.openxmlformats.org/spreadsheetml/2006/main" id="5" name="tblDcHeaderRegister" displayName="tblDcHeaderRegister" ref="A4:J6" headerRowCount="1">
  <autoFilter ref="A4:J6"/>
  <tableColumns count="10">
    <tableColumn id="1" name="Challan No"/>
    <tableColumn id="2" name="DC Date"/>
    <tableColumn id="3" name="Customer ID"/>
    <tableColumn id="4" name="Dispatch From"/>
    <tableColumn id="5" name="Vehicle No"/>
    <tableColumn id="6" name="LR No"/>
    <tableColumn id="7" name="Invoice No"/>
    <tableColumn id="8" name="e-Way Bill"/>
    <tableColumn id="9" name="Status"/>
    <tableColumn id="10" name="Posted At"/>
  </tableColumns>
  <tableStyleInfo name="TableStyleLight1" showRowStripes="0"/>
</table>
</file>

<file path=xl/tables/table6.xml><?xml version="1.0" encoding="utf-8"?>
<table xmlns="http://schemas.openxmlformats.org/spreadsheetml/2006/main" id="6" name="tblDcLineRegister" displayName="tblDcLineRegister" ref="A4:O6" headerRowCount="1">
  <autoFilter ref="A4:O6"/>
  <tableColumns count="15">
    <tableColumn id="1" name="DC Line ID"/>
    <tableColumn id="2" name="Challan No"/>
    <tableColumn id="3" name="DC Date"/>
    <tableColumn id="4" name="Req ID"/>
    <tableColumn id="5" name="Dispatch From"/>
    <tableColumn id="6" name="JWC Line ID"/>
    <tableColumn id="7" name="Part ID"/>
    <tableColumn id="8" name="Batch ID"/>
    <tableColumn id="9" name="Type"/>
    <tableColumn id="10" name="Qty"/>
    <tableColumn id="11" name="UOM"/>
    <tableColumn id="12" name="Wt kg"/>
    <tableColumn id="13" name="Challan Qty"/>
    <tableColumn id="14" name="Rate Rs/kg"/>
    <tableColumn id="15" name="Value Rs"/>
  </tableColumns>
  <tableStyleInfo name="TableStyleLight1" showRowStripes="0"/>
</table>
</file>

<file path=xl/tables/table7.xml><?xml version="1.0" encoding="utf-8"?>
<table xmlns="http://schemas.openxmlformats.org/spreadsheetml/2006/main" id="7" name="tblOpenJwcBalance" displayName="tblOpenJwcBalance" ref="A4:L6" headerRowCount="1">
  <autoFilter ref="A4:L6"/>
  <tableColumns count="12">
    <tableColumn id="1" name="JWC Line ID"/>
    <tableColumn id="2" name="Vendor ID"/>
    <tableColumn id="3" name="JWC Date"/>
    <tableColumn id="4" name="Part ID"/>
    <tableColumn id="5" name="Sent"/>
    <tableColumn id="6" name="Back OK"/>
    <tableColumn id="7" name="Defect Back"/>
    <tableColumn id="8" name="Direct DC"/>
    <tableColumn id="9" name="Pending Qty"/>
    <tableColumn id="10" name="Pending kg"/>
    <tableColumn id="11" name="Days"/>
    <tableColumn id="12" name="Status"/>
  </tableColumns>
  <tableStyleInfo name="TableStyleLight1" showRowStripes="0"/>
</table>
</file>

<file path=xl/tables/table8.xml><?xml version="1.0" encoding="utf-8"?>
<table xmlns="http://schemas.openxmlformats.org/spreadsheetml/2006/main" id="8" name="tblFgBalance" displayName="tblFgBalance" ref="A4:G7" headerRowCount="1">
  <autoFilter ref="A4:G7"/>
  <tableColumns count="7">
    <tableColumn id="1" name="Part ID"/>
    <tableColumn id="2" name="FG Opening"/>
    <tableColumn id="3" name="In: Back OK"/>
    <tableColumn id="4" name="In: Uncoated"/>
    <tableColumn id="5" name="Out: DC from Factory"/>
    <tableColumn id="6" name="FG Available"/>
    <tableColumn id="7" name="Status"/>
  </tableColumns>
  <tableStyleInfo name="TableStyleLight1" showRowStripes="0"/>
</table>
</file>

<file path=xl/tables/table9.xml><?xml version="1.0" encoding="utf-8"?>
<table xmlns="http://schemas.openxmlformats.org/spreadsheetml/2006/main" id="9" name="tblMCustomer" displayName="tblMCustomer" ref="A4:G6" headerRowCount="1">
  <autoFilter ref="A4:G6"/>
  <tableColumns count="7">
    <tableColumn id="1" name="Customer ID"/>
    <tableColumn id="2" name="Customer Name"/>
    <tableColumn id="3" name="State Code"/>
    <tableColumn id="4" name="GSTIN"/>
    <tableColumn id="5" name="Tally Ledger"/>
    <tableColumn id="6" name="Dispatch UOM"/>
    <tableColumn id="7" name="Active"/>
  </tableColumns>
  <tableStyleInfo name="TableStyleLight1" showRowStripes="0"/>
</table>
</file>

<file path=xl/tables/table10.xml><?xml version="1.0" encoding="utf-8"?>
<table xmlns="http://schemas.openxmlformats.org/spreadsheetml/2006/main" id="10" name="tblCustomerPriceUom" displayName="tblCustomerPriceUom" ref="A4:G7" headerRowCount="1">
  <autoFilter ref="A4:G7"/>
  <tableColumns count="7">
    <tableColumn id="1" name="Customer ID"/>
    <tableColumn id="2" name="Product ID"/>
    <tableColumn id="3" name="Part ID"/>
    <tableColumn id="4" name="UOM"/>
    <tableColumn id="5" name="Wt per Unit kg"/>
    <tableColumn id="6" name="Rate Rs/kg"/>
    <tableColumn id="7" name="Effective From"/>
  </tableColumns>
  <tableStyleInfo name="TableStyleLight1" showRowStripes="0"/>
</table>
</file>

<file path=xl/tables/table11.xml><?xml version="1.0" encoding="utf-8"?>
<table xmlns="http://schemas.openxmlformats.org/spreadsheetml/2006/main" id="11" name="tblMVendor" displayName="tblMVendor" ref="A4:D6" headerRowCount="1">
  <autoFilter ref="A4:D6"/>
  <tableColumns count="4">
    <tableColumn id="1" name="Vendor ID"/>
    <tableColumn id="2" name="Vendor Name"/>
    <tableColumn id="3" name="GSTIN"/>
    <tableColumn id="4" name="Status"/>
  </tableColumns>
  <tableStyleInfo name="TableStyleLight1" showRowStripes="0"/>
</table>
</file>

<file path=xl/tables/table12.xml><?xml version="1.0" encoding="utf-8"?>
<table xmlns="http://schemas.openxmlformats.org/spreadsheetml/2006/main" id="12" name="tblCoaterRate" displayName="tblCoaterRate" ref="A4:D6" headerRowCount="1">
  <autoFilter ref="A4:D6"/>
  <tableColumns count="4">
    <tableColumn id="1" name="Vendor ID"/>
    <tableColumn id="2" name="Basis"/>
    <tableColumn id="3" name="Rate Rs"/>
    <tableColumn id="4" name="Effective From"/>
  </tableColumns>
  <tableStyleInfo name="TableStyleLight1" showRowStripes="0"/>
</table>
</file>

<file path=xl/tables/table13.xml><?xml version="1.0" encoding="utf-8"?>
<table xmlns="http://schemas.openxmlformats.org/spreadsheetml/2006/main" id="13" name="tblXProduct" displayName="tblXProduct" ref="A4:E8" headerRowCount="1">
  <autoFilter ref="A4:E8"/>
  <tableColumns count="5">
    <tableColumn id="1" name="Part ID"/>
    <tableColumn id="2" name="Product ID"/>
    <tableColumn id="3" name="Wt/pc kg"/>
    <tableColumn id="4" name="Sq ft/pc"/>
    <tableColumn id="5" name="Coating Route"/>
  </tableColumns>
  <tableStyleInfo name="TableStyleLight1" showRowStripes="0"/>
</table>
</file>

<file path=xl/tables/table14.xml><?xml version="1.0" encoding="utf-8"?>
<table xmlns="http://schemas.openxmlformats.org/spreadsheetml/2006/main" id="14" name="tblXProdoutput" displayName="tblXProdoutput" ref="A4:F6" headerRowCount="1">
  <autoFilter ref="A4:F6"/>
  <tableColumns count="6">
    <tableColumn id="1" name="Batch ID"/>
    <tableColumn id="2" name="Part ID"/>
    <tableColumn id="3" name="QC-OK Qty"/>
    <tableColumn id="4" name="Already on JWC"/>
    <tableColumn id="5" name="Available to Send"/>
    <tableColumn id="6" name="Run ID"/>
  </tableColumns>
  <tableStyleInfo name="TableStyleLight1" showRowStripes="0"/>
</table>
</file>

<file path=xl/tables/table15.xml><?xml version="1.0" encoding="utf-8"?>
<table xmlns="http://schemas.openxmlformats.org/spreadsheetml/2006/main" id="15" name="tblControlTotals" displayName="tblControlTotals" ref="A4:D7" headerRowCount="1">
  <autoFilter ref="A4:D7"/>
  <tableColumns count="4">
    <tableColumn id="1" name="Register"/>
    <tableColumn id="2" name="Rows"/>
    <tableColumn id="3" name="Total Qty"/>
    <tableColumn id="4" name="Total kg / R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3 ISKO DISPATCH &amp; CHALLAN FY2027-28 - requirements, job work, coaters, finished goods, delivery</t>
        </is>
      </c>
    </row>
    <row r="2">
      <c r="A2" s="2" t="inlineStr">
        <is>
          <t>PROTOTYPE - sample / masked data - layout of the target design, not the live ERP</t>
        </is>
      </c>
    </row>
    <row r="4">
      <c r="A4" s="3" t="inlineStr">
        <is>
          <t>Daily routine</t>
        </is>
      </c>
      <c r="B4" s="4" t="inlineStr"/>
    </row>
    <row r="5">
      <c r="A5" s="5" t="inlineStr">
        <is>
          <t>Start of shift</t>
        </is>
      </c>
      <c r="B5" s="4" t="inlineStr">
        <is>
          <t>Refresh All: X_ProdOutput, X_Product. Check Open JWC Balance and FG Balance status.</t>
        </is>
      </c>
    </row>
    <row r="6">
      <c r="A6" s="5" t="inlineStr">
        <is>
          <t>Job work</t>
        </is>
      </c>
      <c r="B6" s="4" t="inlineStr">
        <is>
          <t>JWC Entry: header + lines; post. Coater returns on Coater Move Entry.</t>
        </is>
      </c>
    </row>
    <row r="7">
      <c r="A7" s="5" t="inlineStr">
        <is>
          <t>Dispatch</t>
        </is>
      </c>
      <c r="B7" s="4" t="inlineStr">
        <is>
          <t>DC Entry: header + lines; a line can never exceed FG available (factory) or JWC pending (coater).</t>
        </is>
      </c>
    </row>
    <row r="8">
      <c r="A8" s="5" t="inlineStr">
        <is>
          <t>Note</t>
        </is>
      </c>
      <c r="B8" s="4" t="inlineStr">
        <is>
          <t>Statutory challan documents are produced outside this book (Decision D-03). No print or mail here.</t>
        </is>
      </c>
    </row>
    <row r="11">
      <c r="A11" s="6" t="inlineStr">
        <is>
          <t>Cell colours</t>
        </is>
      </c>
      <c r="B11" s="7" t="inlineStr"/>
    </row>
    <row r="12">
      <c r="A12" s="8" t="inlineStr">
        <is>
          <t>Cream</t>
        </is>
      </c>
      <c r="B12" s="7" t="inlineStr">
        <is>
          <t>you type or pick here</t>
        </is>
      </c>
    </row>
    <row r="13">
      <c r="A13" s="9" t="inlineStr">
        <is>
          <t>Mint</t>
        </is>
      </c>
      <c r="B13" s="7" t="inlineStr">
        <is>
          <t>calculated / snapshot - posted as value</t>
        </is>
      </c>
    </row>
    <row r="14">
      <c r="A14" s="10" t="inlineStr">
        <is>
          <t>Light grey</t>
        </is>
      </c>
      <c r="B14" s="7" t="inlineStr">
        <is>
          <t>lookup shown for information</t>
        </is>
      </c>
    </row>
    <row r="15">
      <c r="A15" s="11" t="inlineStr">
        <is>
          <t>Coral</t>
        </is>
      </c>
      <c r="B15" s="7" t="inlineStr">
        <is>
          <t>hard stop - row cannot be posted</t>
        </is>
      </c>
    </row>
    <row r="16">
      <c r="A16" s="12" t="inlineStr">
        <is>
          <t>Amber</t>
        </is>
      </c>
      <c r="B16" s="7" t="inlineStr">
        <is>
          <t>warning - post only with an authorised reason</t>
        </is>
      </c>
    </row>
    <row r="17">
      <c r="A17" s="13" t="inlineStr">
        <is>
          <t>Teal</t>
        </is>
      </c>
      <c r="B17" s="7" t="inlineStr">
        <is>
          <t>totals</t>
        </is>
      </c>
    </row>
    <row r="18">
      <c r="A18" s="14" t="inlineStr">
        <is>
          <t>Blue</t>
        </is>
      </c>
      <c r="B18" s="7" t="inlineStr">
        <is>
          <t>column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0" customWidth="1" min="4" max="4"/>
    <col width="8" customWidth="1" min="5" max="5"/>
    <col width="7" customWidth="1" min="6" max="6"/>
    <col width="10" customWidth="1" min="7" max="7"/>
    <col width="7" customWidth="1" min="8" max="8"/>
    <col width="10" customWidth="1" min="9" max="9"/>
    <col width="7" customWidth="1" min="10" max="10"/>
    <col width="9" customWidth="1" min="11" max="11"/>
    <col width="34" customWidth="1" min="12" max="12"/>
  </cols>
  <sheetData>
    <row r="1">
      <c r="A1" s="15" t="inlineStr">
        <is>
          <t>JOB WORK CHALLAN PAD - header + lines</t>
        </is>
      </c>
    </row>
    <row r="2">
      <c r="A2" s="16" t="inlineStr">
        <is>
          <t>Pick batch and part; qty cannot exceed what production has available to send. Rate comes from Coater Rate on the JWC date.</t>
        </is>
      </c>
    </row>
    <row r="3">
      <c r="A3" s="17" t="inlineStr">
        <is>
          <t>JWC No</t>
        </is>
      </c>
      <c r="B3" s="18">
        <f>"JWC/27-28/"&amp;TEXT(COUNTA('JWC Header Register'!$A$5:$A$400)+1,"0000")</f>
        <v/>
      </c>
      <c r="C3" s="17" t="inlineStr">
        <is>
          <t>Vendor</t>
        </is>
      </c>
      <c r="D3" s="19" t="inlineStr">
        <is>
          <t>VEN-001</t>
        </is>
      </c>
      <c r="E3" s="17" t="inlineStr">
        <is>
          <t>Date</t>
        </is>
      </c>
      <c r="F3" s="20" t="n">
        <v>46492</v>
      </c>
      <c r="G3" s="17" t="inlineStr">
        <is>
          <t>Vehicle</t>
        </is>
      </c>
      <c r="H3" s="19" t="inlineStr">
        <is>
          <t>GJ06-XX-0003</t>
        </is>
      </c>
      <c r="I3" s="17" t="inlineStr">
        <is>
          <t>Purpose</t>
        </is>
      </c>
      <c r="J3" s="19" t="inlineStr">
        <is>
          <t>FOR POWDER COATING</t>
        </is>
      </c>
    </row>
    <row r="4">
      <c r="A4" s="17" t="inlineStr">
        <is>
          <t>e-Way Bill</t>
        </is>
      </c>
      <c r="B4" s="19" t="inlineStr">
        <is>
          <t>[number]</t>
        </is>
      </c>
      <c r="C4" s="17" t="inlineStr">
        <is>
          <t>Shade</t>
        </is>
      </c>
      <c r="D4" s="19" t="inlineStr">
        <is>
          <t>RAL 7035</t>
        </is>
      </c>
    </row>
    <row r="6" ht="30" customHeight="1">
      <c r="A6" s="21" t="inlineStr">
        <is>
          <t>Line</t>
        </is>
      </c>
      <c r="B6" s="21" t="inlineStr">
        <is>
          <t>JWC Line ID</t>
        </is>
      </c>
      <c r="C6" s="21" t="inlineStr">
        <is>
          <t>Batch ID</t>
        </is>
      </c>
      <c r="D6" s="21" t="inlineStr">
        <is>
          <t>Part ID</t>
        </is>
      </c>
      <c r="E6" s="21" t="inlineStr">
        <is>
          <t>Avail to Send</t>
        </is>
      </c>
      <c r="F6" s="21" t="inlineStr">
        <is>
          <t>Qty NOS</t>
        </is>
      </c>
      <c r="G6" s="21" t="inlineStr">
        <is>
          <t>Wt kg</t>
        </is>
      </c>
      <c r="H6" s="21" t="inlineStr">
        <is>
          <t>Sq ft</t>
        </is>
      </c>
      <c r="I6" s="21" t="inlineStr">
        <is>
          <t>Basis</t>
        </is>
      </c>
      <c r="J6" s="21" t="inlineStr">
        <is>
          <t>PC Rate</t>
        </is>
      </c>
      <c r="K6" s="21" t="inlineStr">
        <is>
          <t>PC Cost Rs</t>
        </is>
      </c>
      <c r="L6" s="21" t="inlineStr">
        <is>
          <t>Ready / issues</t>
        </is>
      </c>
    </row>
    <row r="7">
      <c r="A7" s="22" t="n">
        <v>1</v>
      </c>
      <c r="B7" s="23">
        <f>IF(C7="","",$B$3&amp;"-"&amp;TEXT(A7,"00"))</f>
        <v/>
      </c>
      <c r="C7" s="24" t="inlineStr">
        <is>
          <t>ISS-2728-000001</t>
        </is>
      </c>
      <c r="D7" s="24" t="inlineStr">
        <is>
          <t>A12-BP-01</t>
        </is>
      </c>
      <c r="E7" s="22">
        <f>IF(C7="","",SUMIFS('X_ProdOutput'!$E$5:$E$50,'X_ProdOutput'!$A$5:$A$50,C7,'X_ProdOutput'!$B$5:$B$50,D7)-SUMIFS(F$6:F6,C$6:C6,C7,D$6:D6,D7))</f>
        <v/>
      </c>
      <c r="F7" s="24" t="n">
        <v>8</v>
      </c>
      <c r="G7" s="25">
        <f>IF(F7="","",ROUND(F7*INDEX('X_Product'!$C$5:$C$50,MATCH(D7,'X_Product'!$A$5:$A$50,0)),3))</f>
        <v/>
      </c>
      <c r="H7" s="23">
        <f>IF(F7="","",ROUND(F7*INDEX('X_Product'!$D$5:$D$50,MATCH(D7,'X_Product'!$A$5:$A$50,0)),1))</f>
        <v/>
      </c>
      <c r="I7" s="23">
        <f>IF(C7="","",INDEX('Coater Rate'!$B$5:$B$50,MATCH($D$3,'Coater Rate'!$A$5:$A$50,0)))</f>
        <v/>
      </c>
      <c r="J7" s="26">
        <f>IF(C7="","",INDEX('Coater Rate'!$C$5:$C$50,MATCH($D$3,'Coater Rate'!$A$5:$A$50,0)))</f>
        <v/>
      </c>
      <c r="K7" s="26">
        <f>IF(C7="","",ROUND(IF(I7="KG",G7,H7)*J7,2))</f>
        <v/>
      </c>
      <c r="L7" s="27">
        <f>IF(C7="","",IF(F7&gt;E7,"MORE THAN AVAILABLE TO SEND: max "&amp;E7,"READY"))</f>
        <v/>
      </c>
    </row>
    <row r="8">
      <c r="A8" s="22" t="n">
        <v>2</v>
      </c>
      <c r="B8" s="23">
        <f>IF(C8="","",$B$3&amp;"-"&amp;TEXT(A8,"00"))</f>
        <v/>
      </c>
      <c r="C8" s="24" t="inlineStr">
        <is>
          <t>ISS-2728-000002</t>
        </is>
      </c>
      <c r="D8" s="24" t="inlineStr">
        <is>
          <t>B07-CB-02</t>
        </is>
      </c>
      <c r="E8" s="22">
        <f>IF(C8="","",SUMIFS('X_ProdOutput'!$E$5:$E$50,'X_ProdOutput'!$A$5:$A$50,C8,'X_ProdOutput'!$B$5:$B$50,D8)-SUMIFS(F$6:F7,C$6:C7,C8,D$6:D7,D8))</f>
        <v/>
      </c>
      <c r="F8" s="24" t="n">
        <v>150</v>
      </c>
      <c r="G8" s="25">
        <f>IF(F8="","",ROUND(F8*INDEX('X_Product'!$C$5:$C$50,MATCH(D8,'X_Product'!$A$5:$A$50,0)),3))</f>
        <v/>
      </c>
      <c r="H8" s="23">
        <f>IF(F8="","",ROUND(F8*INDEX('X_Product'!$D$5:$D$50,MATCH(D8,'X_Product'!$A$5:$A$50,0)),1))</f>
        <v/>
      </c>
      <c r="I8" s="23">
        <f>IF(C8="","",INDEX('Coater Rate'!$B$5:$B$50,MATCH($D$3,'Coater Rate'!$A$5:$A$50,0)))</f>
        <v/>
      </c>
      <c r="J8" s="26">
        <f>IF(C8="","",INDEX('Coater Rate'!$C$5:$C$50,MATCH($D$3,'Coater Rate'!$A$5:$A$50,0)))</f>
        <v/>
      </c>
      <c r="K8" s="26">
        <f>IF(C8="","",ROUND(IF(I8="KG",G8,H8)*J8,2))</f>
        <v/>
      </c>
      <c r="L8" s="27">
        <f>IF(C8="","",IF(F8&gt;E8,"MORE THAN AVAILABLE TO SEND: max "&amp;E8,"READY"))</f>
        <v/>
      </c>
    </row>
    <row r="9">
      <c r="A9" s="22" t="n">
        <v>3</v>
      </c>
      <c r="B9" s="23">
        <f>IF(C9="","",$B$3&amp;"-"&amp;TEXT(A9,"00"))</f>
        <v/>
      </c>
      <c r="C9" s="24" t="inlineStr">
        <is>
          <t>ISS-2728-000002</t>
        </is>
      </c>
      <c r="D9" s="24" t="inlineStr">
        <is>
          <t>B07-CB-02</t>
        </is>
      </c>
      <c r="E9" s="22">
        <f>IF(C9="","",SUMIFS('X_ProdOutput'!$E$5:$E$50,'X_ProdOutput'!$A$5:$A$50,C9,'X_ProdOutput'!$B$5:$B$50,D9)-SUMIFS(F$6:F8,C$6:C8,C9,D$6:D8,D9))</f>
        <v/>
      </c>
      <c r="F9" s="24" t="n">
        <v>40</v>
      </c>
      <c r="G9" s="25">
        <f>IF(F9="","",ROUND(F9*INDEX('X_Product'!$C$5:$C$50,MATCH(D9,'X_Product'!$A$5:$A$50,0)),3))</f>
        <v/>
      </c>
      <c r="H9" s="23">
        <f>IF(F9="","",ROUND(F9*INDEX('X_Product'!$D$5:$D$50,MATCH(D9,'X_Product'!$A$5:$A$50,0)),1))</f>
        <v/>
      </c>
      <c r="I9" s="23">
        <f>IF(C9="","",INDEX('Coater Rate'!$B$5:$B$50,MATCH($D$3,'Coater Rate'!$A$5:$A$50,0)))</f>
        <v/>
      </c>
      <c r="J9" s="26">
        <f>IF(C9="","",INDEX('Coater Rate'!$C$5:$C$50,MATCH($D$3,'Coater Rate'!$A$5:$A$50,0)))</f>
        <v/>
      </c>
      <c r="K9" s="26">
        <f>IF(C9="","",ROUND(IF(I9="KG",G9,H9)*J9,2))</f>
        <v/>
      </c>
      <c r="L9" s="27">
        <f>IF(C9="","",IF(F9&gt;E9,"MORE THAN AVAILABLE TO SEND: max "&amp;E9,"READY"))</f>
        <v/>
      </c>
    </row>
  </sheetData>
  <conditionalFormatting sqref="L7:L9">
    <cfRule type="expression" priority="1" dxfId="0" stopIfTrue="1">
      <formula>OR(LEFT(L7,5)="READY",L7="OK",LEFT(L7,6)="CLOSED")</formula>
    </cfRule>
    <cfRule type="expression" priority="2" dxfId="1" stopIfTrue="1">
      <formula>OR(LEFT(L7,4)="WARN",LEFT(L7,2)="IN",LEFT(L7,3)="NOT",LEFT(L7,7)="REORDER",LEFT(L7,5)="STALE",LEFT(L7,4)="PART",LEFT(L7,7)="PENDING",LEFT(L7,5)="READY")</formula>
    </cfRule>
    <cfRule type="expression" priority="3" dxfId="2">
      <formula>LEN(L7)&gt;0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7" customWidth="1" min="4" max="4"/>
    <col width="7" customWidth="1" min="5" max="5"/>
    <col width="7" customWidth="1" min="6" max="6"/>
    <col width="9" customWidth="1" min="7" max="7"/>
    <col width="10" customWidth="1" min="8" max="8"/>
    <col width="10" customWidth="1" min="9" max="9"/>
    <col width="32" customWidth="1" min="10" max="10"/>
  </cols>
  <sheetData>
    <row r="1">
      <c r="A1" s="15" t="inlineStr">
        <is>
          <t>COATER RETURN / DEFECT PAD</t>
        </is>
      </c>
    </row>
    <row r="2">
      <c r="A2" s="16" t="inlineStr">
        <is>
          <t>Quote the JWC line. Returns above pending are blocked; defects need a decision.</t>
        </is>
      </c>
    </row>
    <row r="4" ht="30" customHeight="1">
      <c r="A4" s="21" t="inlineStr">
        <is>
          <t>Coater Move ID</t>
        </is>
      </c>
      <c r="B4" s="21" t="inlineStr">
        <is>
          <t>Move Date</t>
        </is>
      </c>
      <c r="C4" s="21" t="inlineStr">
        <is>
          <t>Move Type</t>
        </is>
      </c>
      <c r="D4" s="21" t="inlineStr">
        <is>
          <t>JWC Line ID</t>
        </is>
      </c>
      <c r="E4" s="21" t="inlineStr">
        <is>
          <t>Pending</t>
        </is>
      </c>
      <c r="F4" s="21" t="inlineStr">
        <is>
          <t>Qty NOS</t>
        </is>
      </c>
      <c r="G4" s="21" t="inlineStr">
        <is>
          <t>Whose Fault</t>
        </is>
      </c>
      <c r="H4" s="21" t="inlineStr">
        <is>
          <t>Decision</t>
        </is>
      </c>
      <c r="I4" s="21" t="inlineStr">
        <is>
          <t>Coater Challan</t>
        </is>
      </c>
      <c r="J4" s="21" t="inlineStr">
        <is>
          <t>Ready / issues</t>
        </is>
      </c>
    </row>
    <row r="5">
      <c r="A5" s="23">
        <f>IF(C5="","","CRT-2728-"&amp;TEXT(COUNTA('Coater Move Register'!$A$5:$A$400)+ROW()-4,"00000"))</f>
        <v/>
      </c>
      <c r="B5" s="28" t="n">
        <v>46492</v>
      </c>
      <c r="C5" s="24" t="inlineStr">
        <is>
          <t>BACK-OK</t>
        </is>
      </c>
      <c r="D5" s="24" t="inlineStr">
        <is>
          <t>JWC/27-28/0001-01</t>
        </is>
      </c>
      <c r="E5" s="22">
        <f>IF(D5="","",IFERROR(INDEX('Open JWC Balance'!$I$5:$I$100,MATCH(D5,'Open JWC Balance'!$A$5:$A$100,0)),0)-SUMIFS(F$4:F4,D$4:D4,D5))</f>
        <v/>
      </c>
      <c r="F5" s="24" t="n">
        <v>6</v>
      </c>
      <c r="G5" s="24" t="inlineStr"/>
      <c r="H5" s="24" t="inlineStr"/>
      <c r="I5" s="24" t="inlineStr">
        <is>
          <t>UMB/C-890</t>
        </is>
      </c>
      <c r="J5" s="27">
        <f>IF(C5="","",IF(F5&gt;E5,"MORE THAN PENDING: max "&amp;E5,IF(AND(C5="DEFECT-BACK",H5=""),"DECISION REQUIRED","READY")))</f>
        <v/>
      </c>
    </row>
    <row r="6">
      <c r="A6" s="23">
        <f>IF(C6="","","CRT-2728-"&amp;TEXT(COUNTA('Coater Move Register'!$A$5:$A$400)+ROW()-4,"00000"))</f>
        <v/>
      </c>
      <c r="B6" s="28" t="n">
        <v>46492</v>
      </c>
      <c r="C6" s="24" t="inlineStr">
        <is>
          <t>BACK-OK</t>
        </is>
      </c>
      <c r="D6" s="24" t="inlineStr">
        <is>
          <t>JWC/27-28/0002-01</t>
        </is>
      </c>
      <c r="E6" s="22">
        <f>IF(D6="","",IFERROR(INDEX('Open JWC Balance'!$I$5:$I$100,MATCH(D6,'Open JWC Balance'!$A$5:$A$100,0)),0)-SUMIFS(F$4:F5,D$4:D5,D6))</f>
        <v/>
      </c>
      <c r="F6" s="24" t="n">
        <v>50</v>
      </c>
      <c r="G6" s="24" t="inlineStr"/>
      <c r="H6" s="24" t="inlineStr"/>
      <c r="I6" s="24" t="inlineStr">
        <is>
          <t>C2/551</t>
        </is>
      </c>
      <c r="J6" s="27">
        <f>IF(C6="","",IF(F6&gt;E6,"MORE THAN PENDING: max "&amp;E6,IF(AND(C6="DEFECT-BACK",H6=""),"DECISION REQUIRED","READY")))</f>
        <v/>
      </c>
    </row>
    <row r="7">
      <c r="A7" s="23">
        <f>IF(C7="","","CRT-2728-"&amp;TEXT(COUNTA('Coater Move Register'!$A$5:$A$400)+ROW()-4,"00000"))</f>
        <v/>
      </c>
      <c r="B7" s="28" t="n">
        <v>46492</v>
      </c>
      <c r="C7" s="24" t="inlineStr">
        <is>
          <t>DEFECT-BACK</t>
        </is>
      </c>
      <c r="D7" s="24" t="inlineStr">
        <is>
          <t>JWC/27-28/0001-01</t>
        </is>
      </c>
      <c r="E7" s="22">
        <f>IF(D7="","",IFERROR(INDEX('Open JWC Balance'!$I$5:$I$100,MATCH(D7,'Open JWC Balance'!$A$5:$A$100,0)),0)-SUMIFS(F$4:F6,D$4:D6,D7))</f>
        <v/>
      </c>
      <c r="F7" s="24" t="n">
        <v>1</v>
      </c>
      <c r="G7" s="24" t="inlineStr">
        <is>
          <t>COATER</t>
        </is>
      </c>
      <c r="H7" s="24" t="inlineStr"/>
      <c r="I7" s="24" t="inlineStr">
        <is>
          <t>UMB/C-890</t>
        </is>
      </c>
      <c r="J7" s="27">
        <f>IF(C7="","",IF(F7&gt;E7,"MORE THAN PENDING: max "&amp;E7,IF(AND(C7="DEFECT-BACK",H7=""),"DECISION REQUIRED","READY")))</f>
        <v/>
      </c>
    </row>
  </sheetData>
  <conditionalFormatting sqref="J5:J7">
    <cfRule type="expression" priority="1" dxfId="0" stopIfTrue="1">
      <formula>OR(LEFT(J5,5)="READY",J5="OK",LEFT(J5,6)="CLOSED")</formula>
    </cfRule>
    <cfRule type="expression" priority="2" dxfId="1" stopIfTrue="1">
      <formula>OR(LEFT(J5,4)="WARN",LEFT(J5,2)="IN",LEFT(J5,3)="NOT",LEFT(J5,7)="REORDER",LEFT(J5,5)="STALE",LEFT(J5,4)="PART",LEFT(J5,7)="PENDING",LEFT(J5,5)="READY")</formula>
    </cfRule>
    <cfRule type="expression" priority="3" dxfId="2">
      <formula>LEN(J5)&gt;0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0" customWidth="1" min="4" max="4"/>
    <col width="13" customWidth="1" min="5" max="5"/>
    <col width="8" customWidth="1" min="6" max="6"/>
    <col width="9" customWidth="1" min="7" max="7"/>
    <col width="7" customWidth="1" min="8" max="8"/>
    <col width="10" customWidth="1" min="9" max="9"/>
    <col width="8" customWidth="1" min="10" max="10"/>
    <col width="8" customWidth="1" min="11" max="11"/>
    <col width="10" customWidth="1" min="12" max="12"/>
    <col width="34" customWidth="1" min="13" max="13"/>
  </cols>
  <sheetData>
    <row r="1">
      <c r="A1" s="15" t="inlineStr">
        <is>
          <t>DELIVERY CHALLAN PAD - header + lines</t>
        </is>
      </c>
    </row>
    <row r="2">
      <c r="A2" s="16" t="inlineStr">
        <is>
          <t>From FACTORY a line cannot exceed FG available; from a coater it must quote the JWC line and cannot exceed pending. UOM and rate from Customer Price &amp; UOM.</t>
        </is>
      </c>
    </row>
    <row r="3">
      <c r="A3" s="17" t="inlineStr">
        <is>
          <t>Challan No</t>
        </is>
      </c>
      <c r="B3" s="18">
        <f>"DC/27-28/"&amp;TEXT(COUNTA('DC Header Register'!$A$5:$A$400)+1,"0000")</f>
        <v/>
      </c>
      <c r="C3" s="17" t="inlineStr">
        <is>
          <t>Customer</t>
        </is>
      </c>
      <c r="D3" s="19" t="inlineStr">
        <is>
          <t>CUS-01</t>
        </is>
      </c>
      <c r="E3" s="17" t="inlineStr">
        <is>
          <t>Date</t>
        </is>
      </c>
      <c r="F3" s="20" t="n">
        <v>46492</v>
      </c>
      <c r="G3" s="17" t="inlineStr">
        <is>
          <t>From</t>
        </is>
      </c>
      <c r="H3" s="19" t="inlineStr">
        <is>
          <t>FACTORY</t>
        </is>
      </c>
      <c r="I3" s="17" t="inlineStr">
        <is>
          <t>Vehicle</t>
        </is>
      </c>
      <c r="J3" s="19" t="inlineStr">
        <is>
          <t>GJ06-XX-0103</t>
        </is>
      </c>
    </row>
    <row r="4">
      <c r="A4" s="17" t="inlineStr">
        <is>
          <t>LR No</t>
        </is>
      </c>
      <c r="B4" s="19" t="inlineStr">
        <is>
          <t>[ref]</t>
        </is>
      </c>
      <c r="C4" s="17" t="inlineStr">
        <is>
          <t>Invoice</t>
        </is>
      </c>
      <c r="D4" s="19" t="inlineStr">
        <is>
          <t>[ref]</t>
        </is>
      </c>
      <c r="E4" s="17" t="inlineStr">
        <is>
          <t>e-Way Bill</t>
        </is>
      </c>
      <c r="F4" s="19" t="inlineStr">
        <is>
          <t>[number]</t>
        </is>
      </c>
      <c r="G4" s="17" t="inlineStr">
        <is>
          <t>Driver</t>
        </is>
      </c>
      <c r="H4" s="19" t="inlineStr">
        <is>
          <t>[name]</t>
        </is>
      </c>
    </row>
    <row r="6" ht="30" customHeight="1">
      <c r="A6" s="21" t="inlineStr">
        <is>
          <t>Line</t>
        </is>
      </c>
      <c r="B6" s="21" t="inlineStr">
        <is>
          <t>DC Line ID</t>
        </is>
      </c>
      <c r="C6" s="21" t="inlineStr">
        <is>
          <t>Req ID</t>
        </is>
      </c>
      <c r="D6" s="21" t="inlineStr">
        <is>
          <t>Part ID</t>
        </is>
      </c>
      <c r="E6" s="21" t="inlineStr">
        <is>
          <t>Qty</t>
        </is>
      </c>
      <c r="F6" s="21" t="inlineStr">
        <is>
          <t>Available</t>
        </is>
      </c>
      <c r="G6" s="21" t="inlineStr">
        <is>
          <t>UOM</t>
        </is>
      </c>
      <c r="H6" s="21" t="inlineStr">
        <is>
          <t>Wt / Unit</t>
        </is>
      </c>
      <c r="I6" s="21" t="inlineStr">
        <is>
          <t>Wt kg</t>
        </is>
      </c>
      <c r="J6" s="21" t="inlineStr">
        <is>
          <t>Challan Qty</t>
        </is>
      </c>
      <c r="K6" s="21" t="inlineStr">
        <is>
          <t>Rate Rs/kg</t>
        </is>
      </c>
      <c r="L6" s="21" t="inlineStr">
        <is>
          <t>Value Rs</t>
        </is>
      </c>
      <c r="M6" s="21" t="inlineStr">
        <is>
          <t>Ready / issues</t>
        </is>
      </c>
    </row>
    <row r="7">
      <c r="A7" s="22" t="n">
        <v>1</v>
      </c>
      <c r="B7" s="23">
        <f>IF(D7="","",$B$3&amp;"-"&amp;TEXT(A7,"00"))</f>
        <v/>
      </c>
      <c r="C7" s="24" t="inlineStr">
        <is>
          <t>REQ-2728-00002</t>
        </is>
      </c>
      <c r="D7" s="24" t="inlineStr">
        <is>
          <t>A12-BP-01</t>
        </is>
      </c>
      <c r="E7" s="24" t="n">
        <v>4</v>
      </c>
      <c r="F7" s="22">
        <f>IF(D7="","",IFERROR(INDEX('FG Balance'!$F$5:$F$100,MATCH(D7,'FG Balance'!$A$5:$A$100,0)),0)-SUMIFS(E$6:E6,D$6:D6,D7))</f>
        <v/>
      </c>
      <c r="G7" s="23">
        <f t="array" ref="G7">IF(D7="","",IFERROR(INDEX('Customer Price &amp; UOM'!$D$5:$D$50,MATCH(1,('Customer Price &amp; UOM'!$A$5:$A$50=$D$3)*('Customer Price &amp; UOM'!$C$5:$C$50=D7),0)),""))</f>
        <v/>
      </c>
      <c r="H7" s="25">
        <f t="array" ref="H7">IF(D7="","",IFERROR(INDEX('Customer Price &amp; UOM'!$E$5:$E$50,MATCH(1,('Customer Price &amp; UOM'!$A$5:$A$50=$D$3)*('Customer Price &amp; UOM'!$C$5:$C$50=D7),0)),0))</f>
        <v/>
      </c>
      <c r="I7" s="25">
        <f>IF(E7="","",ROUND(E7*H7,3))</f>
        <v/>
      </c>
      <c r="J7" s="23">
        <f>IF(E7="","",IF(G7="KG",I7,IF(G7="TON",ROUND(I7/1000,3),E7)))</f>
        <v/>
      </c>
      <c r="K7" s="25">
        <f t="array" ref="K7">IF(D7="","",IFERROR(INDEX('Customer Price &amp; UOM'!$F$5:$F$50,MATCH(1,('Customer Price &amp; UOM'!$A$5:$A$50=$D$3)*('Customer Price &amp; UOM'!$C$5:$C$50=D7),0)),0))</f>
        <v/>
      </c>
      <c r="L7" s="26">
        <f>IF(E7="","",ROUND(I7*K7,2))</f>
        <v/>
      </c>
      <c r="M7" s="27">
        <f>IF(D7="","",IF(G7="","NO UOM / PRICE FOR CUSTOMER + PART",IF(E7&gt;F7,"ABOVE FG AVAILABLE: max "&amp;F7,IF(C7="","WARN: no Req ID","READY"))))</f>
        <v/>
      </c>
    </row>
    <row r="8">
      <c r="A8" s="22" t="n">
        <v>2</v>
      </c>
      <c r="B8" s="23">
        <f>IF(D8="","",$B$3&amp;"-"&amp;TEXT(A8,"00"))</f>
        <v/>
      </c>
      <c r="C8" s="24" t="inlineStr">
        <is>
          <t>REQ-2728-00002</t>
        </is>
      </c>
      <c r="D8" s="24" t="inlineStr">
        <is>
          <t>A12-BP-01</t>
        </is>
      </c>
      <c r="E8" s="24" t="n">
        <v>10</v>
      </c>
      <c r="F8" s="22">
        <f>IF(D8="","",IFERROR(INDEX('FG Balance'!$F$5:$F$100,MATCH(D8,'FG Balance'!$A$5:$A$100,0)),0)-SUMIFS(E$6:E7,D$6:D7,D8))</f>
        <v/>
      </c>
      <c r="G8" s="23">
        <f t="array" ref="G8">IF(D8="","",IFERROR(INDEX('Customer Price &amp; UOM'!$D$5:$D$50,MATCH(1,('Customer Price &amp; UOM'!$A$5:$A$50=$D$3)*('Customer Price &amp; UOM'!$C$5:$C$50=D8),0)),""))</f>
        <v/>
      </c>
      <c r="H8" s="25">
        <f t="array" ref="H8">IF(D8="","",IFERROR(INDEX('Customer Price &amp; UOM'!$E$5:$E$50,MATCH(1,('Customer Price &amp; UOM'!$A$5:$A$50=$D$3)*('Customer Price &amp; UOM'!$C$5:$C$50=D8),0)),0))</f>
        <v/>
      </c>
      <c r="I8" s="25">
        <f>IF(E8="","",ROUND(E8*H8,3))</f>
        <v/>
      </c>
      <c r="J8" s="23">
        <f>IF(E8="","",IF(G8="KG",I8,IF(G8="TON",ROUND(I8/1000,3),E8)))</f>
        <v/>
      </c>
      <c r="K8" s="25">
        <f t="array" ref="K8">IF(D8="","",IFERROR(INDEX('Customer Price &amp; UOM'!$F$5:$F$50,MATCH(1,('Customer Price &amp; UOM'!$A$5:$A$50=$D$3)*('Customer Price &amp; UOM'!$C$5:$C$50=D8),0)),0))</f>
        <v/>
      </c>
      <c r="L8" s="26">
        <f>IF(E8="","",ROUND(I8*K8,2))</f>
        <v/>
      </c>
      <c r="M8" s="27">
        <f>IF(D8="","",IF(G8="","NO UOM / PRICE FOR CUSTOMER + PART",IF(E8&gt;F8,"ABOVE FG AVAILABLE: max "&amp;F8,IF(C8="","WARN: no Req ID","READY"))))</f>
        <v/>
      </c>
    </row>
    <row r="9">
      <c r="A9" s="22" t="n">
        <v>3</v>
      </c>
      <c r="B9" s="23">
        <f>IF(D9="","",$B$3&amp;"-"&amp;TEXT(A9,"00"))</f>
        <v/>
      </c>
      <c r="C9" s="24" t="inlineStr"/>
      <c r="D9" s="24" t="inlineStr">
        <is>
          <t>C03-FR-01</t>
        </is>
      </c>
      <c r="E9" s="24" t="n">
        <v>5</v>
      </c>
      <c r="F9" s="22">
        <f>IF(D9="","",IFERROR(INDEX('FG Balance'!$F$5:$F$100,MATCH(D9,'FG Balance'!$A$5:$A$100,0)),0)-SUMIFS(E$6:E8,D$6:D8,D9))</f>
        <v/>
      </c>
      <c r="G9" s="23">
        <f t="array" ref="G9">IF(D9="","",IFERROR(INDEX('Customer Price &amp; UOM'!$D$5:$D$50,MATCH(1,('Customer Price &amp; UOM'!$A$5:$A$50=$D$3)*('Customer Price &amp; UOM'!$C$5:$C$50=D9),0)),""))</f>
        <v/>
      </c>
      <c r="H9" s="25">
        <f t="array" ref="H9">IF(D9="","",IFERROR(INDEX('Customer Price &amp; UOM'!$E$5:$E$50,MATCH(1,('Customer Price &amp; UOM'!$A$5:$A$50=$D$3)*('Customer Price &amp; UOM'!$C$5:$C$50=D9),0)),0))</f>
        <v/>
      </c>
      <c r="I9" s="25">
        <f>IF(E9="","",ROUND(E9*H9,3))</f>
        <v/>
      </c>
      <c r="J9" s="23">
        <f>IF(E9="","",IF(G9="KG",I9,IF(G9="TON",ROUND(I9/1000,3),E9)))</f>
        <v/>
      </c>
      <c r="K9" s="25">
        <f t="array" ref="K9">IF(D9="","",IFERROR(INDEX('Customer Price &amp; UOM'!$F$5:$F$50,MATCH(1,('Customer Price &amp; UOM'!$A$5:$A$50=$D$3)*('Customer Price &amp; UOM'!$C$5:$C$50=D9),0)),0))</f>
        <v/>
      </c>
      <c r="L9" s="26">
        <f>IF(E9="","",ROUND(I9*K9,2))</f>
        <v/>
      </c>
      <c r="M9" s="27">
        <f>IF(D9="","",IF(G9="","NO UOM / PRICE FOR CUSTOMER + PART",IF(E9&gt;F9,"ABOVE FG AVAILABLE: max "&amp;F9,IF(C9="","WARN: no Req ID","READY"))))</f>
        <v/>
      </c>
    </row>
  </sheetData>
  <conditionalFormatting sqref="M7:M9">
    <cfRule type="expression" priority="1" dxfId="0" stopIfTrue="1">
      <formula>OR(LEFT(M7,5)="READY",M7="OK",LEFT(M7,6)="CLOSED")</formula>
    </cfRule>
    <cfRule type="expression" priority="2" dxfId="1" stopIfTrue="1">
      <formula>OR(LEFT(M7,4)="WARN",LEFT(M7,2)="IN",LEFT(M7,3)="NOT",LEFT(M7,7)="REORDER",LEFT(M7,5)="STALE",LEFT(M7,4)="PART",LEFT(M7,7)="PENDING",LEFT(M7,5)="READY")</formula>
    </cfRule>
    <cfRule type="expression" priority="3" dxfId="2">
      <formula>LEN(M7)&gt;0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6" customWidth="1" min="9" max="9"/>
    <col width="10" customWidth="1" min="10" max="10"/>
    <col width="9" customWidth="1" min="11" max="11"/>
    <col width="8" customWidth="1" min="12" max="12"/>
  </cols>
  <sheetData>
    <row r="1">
      <c r="A1" s="15" t="inlineStr">
        <is>
          <t>CUSTOMER REQUIREMENT REGISTER - versioned</t>
        </is>
      </c>
    </row>
    <row r="2">
      <c r="A2" s="16" t="inlineStr">
        <is>
          <t>A revision is a new row quoting the row it revises; the old one becomes SUPERSEDED.</t>
        </is>
      </c>
    </row>
    <row r="4" ht="30" customHeight="1">
      <c r="A4" s="21" t="inlineStr">
        <is>
          <t>Req ID</t>
        </is>
      </c>
      <c r="B4" s="21" t="inlineStr">
        <is>
          <t>Version</t>
        </is>
      </c>
      <c r="C4" s="21" t="inlineStr">
        <is>
          <t>Revises</t>
        </is>
      </c>
      <c r="D4" s="21" t="inlineStr">
        <is>
          <t>Entry Date</t>
        </is>
      </c>
      <c r="E4" s="21" t="inlineStr">
        <is>
          <t>Customer ID</t>
        </is>
      </c>
      <c r="F4" s="21" t="inlineStr">
        <is>
          <t>Product ID</t>
        </is>
      </c>
      <c r="G4" s="21" t="inlineStr">
        <is>
          <t>Required Qty</t>
        </is>
      </c>
      <c r="H4" s="21" t="inlineStr">
        <is>
          <t>Required Date</t>
        </is>
      </c>
      <c r="I4" s="21" t="inlineStr">
        <is>
          <t>Priority</t>
        </is>
      </c>
      <c r="J4" s="21" t="inlineStr">
        <is>
          <t>Status</t>
        </is>
      </c>
      <c r="K4" s="21" t="inlineStr">
        <is>
          <t>Dispatched Qty</t>
        </is>
      </c>
      <c r="L4" s="21" t="inlineStr">
        <is>
          <t>Pending Qty</t>
        </is>
      </c>
    </row>
    <row r="5">
      <c r="A5" s="23" t="inlineStr">
        <is>
          <t>REQ-2728-00001</t>
        </is>
      </c>
      <c r="B5" s="23" t="n">
        <v>1</v>
      </c>
      <c r="C5" s="23" t="inlineStr"/>
      <c r="D5" s="29" t="n">
        <v>46479</v>
      </c>
      <c r="E5" s="23" t="inlineStr">
        <is>
          <t>CUS-01</t>
        </is>
      </c>
      <c r="F5" s="23" t="inlineStr">
        <is>
          <t>PRD-A12</t>
        </is>
      </c>
      <c r="G5" s="23" t="n">
        <v>200</v>
      </c>
      <c r="H5" s="29" t="n">
        <v>46507</v>
      </c>
      <c r="I5" s="23" t="n">
        <v>1</v>
      </c>
      <c r="J5" s="23" t="inlineStr">
        <is>
          <t>SUPERSEDED</t>
        </is>
      </c>
      <c r="K5" s="23">
        <f>SUMIFS('DC Line Register'!$J$5:$J$400,'DC Line Register'!$D$5:$D$400,A5)</f>
        <v/>
      </c>
      <c r="L5" s="30">
        <f>IF(J5="SUPERSEDED",0,MAX(0,G5-K5))</f>
        <v/>
      </c>
    </row>
    <row r="6">
      <c r="A6" s="23" t="inlineStr">
        <is>
          <t>REQ-2728-00002</t>
        </is>
      </c>
      <c r="B6" s="23" t="n">
        <v>2</v>
      </c>
      <c r="C6" s="23" t="inlineStr">
        <is>
          <t>REQ-2728-00001</t>
        </is>
      </c>
      <c r="D6" s="29" t="n">
        <v>46486</v>
      </c>
      <c r="E6" s="23" t="inlineStr">
        <is>
          <t>CUS-01</t>
        </is>
      </c>
      <c r="F6" s="23" t="inlineStr">
        <is>
          <t>PRD-A12</t>
        </is>
      </c>
      <c r="G6" s="23" t="n">
        <v>240</v>
      </c>
      <c r="H6" s="29" t="n">
        <v>46507</v>
      </c>
      <c r="I6" s="23" t="n">
        <v>1</v>
      </c>
      <c r="J6" s="23" t="inlineStr">
        <is>
          <t>OPEN</t>
        </is>
      </c>
      <c r="K6" s="23">
        <f>SUMIFS('DC Line Register'!$J$5:$J$400,'DC Line Register'!$D$5:$D$400,A6)</f>
        <v/>
      </c>
      <c r="L6" s="30">
        <f>IF(J6="SUPERSEDED",0,MAX(0,G6-K6))</f>
        <v/>
      </c>
    </row>
    <row r="7">
      <c r="A7" s="23" t="inlineStr">
        <is>
          <t>REQ-2728-00003</t>
        </is>
      </c>
      <c r="B7" s="23" t="n">
        <v>1</v>
      </c>
      <c r="C7" s="23" t="inlineStr"/>
      <c r="D7" s="29" t="n">
        <v>46482</v>
      </c>
      <c r="E7" s="23" t="inlineStr">
        <is>
          <t>CUS-02</t>
        </is>
      </c>
      <c r="F7" s="23" t="inlineStr">
        <is>
          <t>PRD-C03</t>
        </is>
      </c>
      <c r="G7" s="23" t="n">
        <v>30</v>
      </c>
      <c r="H7" s="29" t="n">
        <v>46497</v>
      </c>
      <c r="I7" s="23" t="n">
        <v>2</v>
      </c>
      <c r="J7" s="23" t="inlineStr">
        <is>
          <t>OPEN</t>
        </is>
      </c>
      <c r="K7" s="23">
        <f>SUMIFS('DC Line Register'!$J$5:$J$400,'DC Line Register'!$D$5:$D$400,A7)</f>
        <v/>
      </c>
      <c r="L7" s="30">
        <f>IF(J7="SUPERSEDED",0,MAX(0,G7-K7))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6" customWidth="1" min="4" max="4"/>
    <col width="12" customWidth="1" min="5" max="5"/>
    <col width="12" customWidth="1" min="6" max="6"/>
    <col width="16" customWidth="1" min="7" max="7"/>
    <col width="8" customWidth="1" min="8" max="8"/>
    <col width="12" customWidth="1" min="9" max="9"/>
  </cols>
  <sheetData>
    <row r="1">
      <c r="A1" s="15" t="inlineStr">
        <is>
          <t>JWC HEADER REGISTER - values only</t>
        </is>
      </c>
    </row>
    <row r="2">
      <c r="A2" s="16" t="inlineStr">
        <is>
          <t>JWC numbers are sequential per FY, no gaps; cancellation is a status line.</t>
        </is>
      </c>
    </row>
    <row r="4" ht="30" customHeight="1">
      <c r="A4" s="21" t="inlineStr">
        <is>
          <t>JWC No</t>
        </is>
      </c>
      <c r="B4" s="21" t="inlineStr">
        <is>
          <t>JWC Date</t>
        </is>
      </c>
      <c r="C4" s="21" t="inlineStr">
        <is>
          <t>Vendor ID</t>
        </is>
      </c>
      <c r="D4" s="21" t="inlineStr">
        <is>
          <t>Vendor Name</t>
        </is>
      </c>
      <c r="E4" s="21" t="inlineStr">
        <is>
          <t>Vehicle No</t>
        </is>
      </c>
      <c r="F4" s="21" t="inlineStr">
        <is>
          <t>e-Way Bill</t>
        </is>
      </c>
      <c r="G4" s="21" t="inlineStr">
        <is>
          <t>Purpose</t>
        </is>
      </c>
      <c r="H4" s="21" t="inlineStr">
        <is>
          <t>Status</t>
        </is>
      </c>
      <c r="I4" s="21" t="inlineStr">
        <is>
          <t>Posted At</t>
        </is>
      </c>
    </row>
    <row r="5">
      <c r="A5" s="23" t="inlineStr">
        <is>
          <t>JWC/27-28/0001</t>
        </is>
      </c>
      <c r="B5" s="29" t="n">
        <v>46490</v>
      </c>
      <c r="C5" s="23" t="inlineStr">
        <is>
          <t>VEN-001</t>
        </is>
      </c>
      <c r="D5" s="23" t="inlineStr">
        <is>
          <t>Coater 1 (masked)</t>
        </is>
      </c>
      <c r="E5" s="23" t="inlineStr">
        <is>
          <t>GJ06-XX-0001</t>
        </is>
      </c>
      <c r="F5" s="23" t="inlineStr">
        <is>
          <t>[number]</t>
        </is>
      </c>
      <c r="G5" s="23" t="inlineStr">
        <is>
          <t>FOR POWDER COATING</t>
        </is>
      </c>
      <c r="H5" s="23" t="inlineStr">
        <is>
          <t>OPEN</t>
        </is>
      </c>
      <c r="I5" s="31" t="n">
        <v>46490.66666666666</v>
      </c>
    </row>
    <row r="6">
      <c r="A6" s="23" t="inlineStr">
        <is>
          <t>JWC/27-28/0002</t>
        </is>
      </c>
      <c r="B6" s="29" t="n">
        <v>46491</v>
      </c>
      <c r="C6" s="23" t="inlineStr">
        <is>
          <t>VEN-002</t>
        </is>
      </c>
      <c r="D6" s="23" t="inlineStr">
        <is>
          <t>Coater 2 (masked)</t>
        </is>
      </c>
      <c r="E6" s="23" t="inlineStr">
        <is>
          <t>GJ06-XX-0002</t>
        </is>
      </c>
      <c r="F6" s="23" t="inlineStr">
        <is>
          <t>[number]</t>
        </is>
      </c>
      <c r="G6" s="23" t="inlineStr">
        <is>
          <t>FOR POWDER COATING</t>
        </is>
      </c>
      <c r="H6" s="23" t="inlineStr">
        <is>
          <t>OPEN</t>
        </is>
      </c>
      <c r="I6" s="31" t="n">
        <v>46491.625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zoomScale="90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  <col width="8" customWidth="1" min="4" max="4"/>
    <col width="15" customWidth="1" min="5" max="5"/>
    <col width="10" customWidth="1" min="6" max="6"/>
    <col width="7" customWidth="1" min="7" max="7"/>
    <col width="8" customWidth="1" min="8" max="8"/>
    <col width="7" customWidth="1" min="9" max="9"/>
    <col width="6" customWidth="1" min="10" max="10"/>
    <col width="7" customWidth="1" min="11" max="11"/>
    <col width="9" customWidth="1" min="12" max="12"/>
    <col width="12" customWidth="1" min="13" max="13"/>
  </cols>
  <sheetData>
    <row r="1">
      <c r="A1" s="15" t="inlineStr">
        <is>
          <t>JWC LINE REGISTER - values only</t>
        </is>
      </c>
    </row>
    <row r="2">
      <c r="A2" s="16" t="inlineStr">
        <is>
          <t>Rate, basis, sq ft and lot frozen at posting. Returns and pending are in Open JWC Balance.</t>
        </is>
      </c>
    </row>
    <row r="4" ht="30" customHeight="1">
      <c r="A4" s="21" t="inlineStr">
        <is>
          <t>JWC Line ID</t>
        </is>
      </c>
      <c r="B4" s="21" t="inlineStr">
        <is>
          <t>JWC No</t>
        </is>
      </c>
      <c r="C4" s="21" t="inlineStr">
        <is>
          <t>JWC Date</t>
        </is>
      </c>
      <c r="D4" s="21" t="inlineStr">
        <is>
          <t>Vendor ID</t>
        </is>
      </c>
      <c r="E4" s="21" t="inlineStr">
        <is>
          <t>Batch ID</t>
        </is>
      </c>
      <c r="F4" s="21" t="inlineStr">
        <is>
          <t>Part ID</t>
        </is>
      </c>
      <c r="G4" s="21" t="inlineStr">
        <is>
          <t>Qty NOS</t>
        </is>
      </c>
      <c r="H4" s="21" t="inlineStr">
        <is>
          <t>Wt kg</t>
        </is>
      </c>
      <c r="I4" s="21" t="inlineStr">
        <is>
          <t>Sq ft</t>
        </is>
      </c>
      <c r="J4" s="21" t="inlineStr">
        <is>
          <t>Basis</t>
        </is>
      </c>
      <c r="K4" s="21" t="inlineStr">
        <is>
          <t>PC Rate</t>
        </is>
      </c>
      <c r="L4" s="21" t="inlineStr">
        <is>
          <t>PC Cost Rs</t>
        </is>
      </c>
      <c r="M4" s="21" t="inlineStr">
        <is>
          <t>Posted At</t>
        </is>
      </c>
    </row>
    <row r="5">
      <c r="A5" s="23" t="inlineStr">
        <is>
          <t>JWC/27-28/0001-01</t>
        </is>
      </c>
      <c r="B5" s="23" t="inlineStr">
        <is>
          <t>JWC/27-28/0001</t>
        </is>
      </c>
      <c r="C5" s="29" t="n">
        <v>46490</v>
      </c>
      <c r="D5" s="23" t="inlineStr">
        <is>
          <t>VEN-001</t>
        </is>
      </c>
      <c r="E5" s="23" t="inlineStr">
        <is>
          <t>ISS-2728-000001</t>
        </is>
      </c>
      <c r="F5" s="23" t="inlineStr">
        <is>
          <t>A12-BP-01</t>
        </is>
      </c>
      <c r="G5" s="23" t="n">
        <v>40</v>
      </c>
      <c r="H5" s="25" t="n">
        <v>248.6</v>
      </c>
      <c r="I5" s="23" t="n">
        <v>166</v>
      </c>
      <c r="J5" s="23" t="inlineStr">
        <is>
          <t>SQFT</t>
        </is>
      </c>
      <c r="K5" s="26" t="n">
        <v>13.5</v>
      </c>
      <c r="L5" s="26" t="n">
        <v>2241</v>
      </c>
      <c r="M5" s="31" t="n">
        <v>46490.66666666666</v>
      </c>
    </row>
    <row r="6">
      <c r="A6" s="23" t="inlineStr">
        <is>
          <t>JWC/27-28/0002-01</t>
        </is>
      </c>
      <c r="B6" s="23" t="inlineStr">
        <is>
          <t>JWC/27-28/0002</t>
        </is>
      </c>
      <c r="C6" s="29" t="n">
        <v>46491</v>
      </c>
      <c r="D6" s="23" t="inlineStr">
        <is>
          <t>VEN-002</t>
        </is>
      </c>
      <c r="E6" s="23" t="inlineStr">
        <is>
          <t>ISS-2728-000002</t>
        </is>
      </c>
      <c r="F6" s="23" t="inlineStr">
        <is>
          <t>B07-CB-02</t>
        </is>
      </c>
      <c r="G6" s="23" t="n">
        <v>100</v>
      </c>
      <c r="H6" s="25" t="n">
        <v>115</v>
      </c>
      <c r="I6" s="23" t="n">
        <v>90</v>
      </c>
      <c r="J6" s="23" t="inlineStr">
        <is>
          <t>KG</t>
        </is>
      </c>
      <c r="K6" s="26" t="n">
        <v>27</v>
      </c>
      <c r="L6" s="26" t="n">
        <v>3105</v>
      </c>
      <c r="M6" s="31" t="n">
        <v>46491.625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8" customWidth="1" min="4" max="4"/>
    <col width="17" customWidth="1" min="5" max="5"/>
    <col width="10" customWidth="1" min="6" max="6"/>
    <col width="7" customWidth="1" min="7" max="7"/>
    <col width="8" customWidth="1" min="8" max="8"/>
    <col width="9" customWidth="1" min="9" max="9"/>
    <col width="10" customWidth="1" min="10" max="10"/>
    <col width="7" customWidth="1" min="11" max="11"/>
    <col width="10" customWidth="1" min="12" max="12"/>
    <col width="12" customWidth="1" min="13" max="13"/>
  </cols>
  <sheetData>
    <row r="1">
      <c r="A1" s="15" t="inlineStr">
        <is>
          <t>COATER MOVEMENT REGISTER - opening, returns, defects</t>
        </is>
      </c>
    </row>
    <row r="2">
      <c r="A2" s="16" t="inlineStr">
        <is>
          <t>BACK-OK puts goods into FG; DEFECT-BACK needs a decision; OPENING only at cut-over.</t>
        </is>
      </c>
    </row>
    <row r="4" ht="30" customHeight="1">
      <c r="A4" s="21" t="inlineStr">
        <is>
          <t>Coater Move ID</t>
        </is>
      </c>
      <c r="B4" s="21" t="inlineStr">
        <is>
          <t>Move Date</t>
        </is>
      </c>
      <c r="C4" s="21" t="inlineStr">
        <is>
          <t>Move Type</t>
        </is>
      </c>
      <c r="D4" s="21" t="inlineStr">
        <is>
          <t>Vendor ID</t>
        </is>
      </c>
      <c r="E4" s="21" t="inlineStr">
        <is>
          <t>JWC Line ID</t>
        </is>
      </c>
      <c r="F4" s="21" t="inlineStr">
        <is>
          <t>Part ID</t>
        </is>
      </c>
      <c r="G4" s="21" t="inlineStr">
        <is>
          <t>Qty NOS</t>
        </is>
      </c>
      <c r="H4" s="21" t="inlineStr">
        <is>
          <t>Wt kg</t>
        </is>
      </c>
      <c r="I4" s="21" t="inlineStr">
        <is>
          <t>Whose Fault</t>
        </is>
      </c>
      <c r="J4" s="21" t="inlineStr">
        <is>
          <t>Decision</t>
        </is>
      </c>
      <c r="K4" s="21" t="inlineStr">
        <is>
          <t>Debit Rs</t>
        </is>
      </c>
      <c r="L4" s="21" t="inlineStr">
        <is>
          <t>Coater Challan</t>
        </is>
      </c>
      <c r="M4" s="21" t="inlineStr">
        <is>
          <t>Posted At</t>
        </is>
      </c>
    </row>
    <row r="5">
      <c r="A5" s="23" t="inlineStr">
        <is>
          <t>CRT-2728-00001</t>
        </is>
      </c>
      <c r="B5" s="29" t="n">
        <v>46478</v>
      </c>
      <c r="C5" s="23" t="inlineStr">
        <is>
          <t>OPENING</t>
        </is>
      </c>
      <c r="D5" s="23" t="inlineStr">
        <is>
          <t>VEN-001</t>
        </is>
      </c>
      <c r="E5" s="23" t="inlineStr"/>
      <c r="F5" s="23" t="inlineStr">
        <is>
          <t>A12-BP-01</t>
        </is>
      </c>
      <c r="G5" s="23" t="n">
        <v>20</v>
      </c>
      <c r="H5" s="25" t="n">
        <v>124.3</v>
      </c>
      <c r="I5" s="23" t="inlineStr"/>
      <c r="J5" s="23" t="inlineStr"/>
      <c r="K5" s="26" t="inlineStr"/>
      <c r="L5" s="23" t="inlineStr">
        <is>
          <t>Statement 31-Mar</t>
        </is>
      </c>
      <c r="M5" s="31" t="n">
        <v>46478.375</v>
      </c>
    </row>
    <row r="6">
      <c r="A6" s="23" t="inlineStr">
        <is>
          <t>CRT-2728-00002</t>
        </is>
      </c>
      <c r="B6" s="29" t="n">
        <v>46492</v>
      </c>
      <c r="C6" s="23" t="inlineStr">
        <is>
          <t>BACK-OK</t>
        </is>
      </c>
      <c r="D6" s="23" t="inlineStr">
        <is>
          <t>VEN-001</t>
        </is>
      </c>
      <c r="E6" s="23" t="inlineStr">
        <is>
          <t>JWC/27-28/0001-01</t>
        </is>
      </c>
      <c r="F6" s="23" t="inlineStr">
        <is>
          <t>A12-BP-01</t>
        </is>
      </c>
      <c r="G6" s="23" t="n">
        <v>30</v>
      </c>
      <c r="H6" s="25" t="n">
        <v>186.45</v>
      </c>
      <c r="I6" s="23" t="inlineStr"/>
      <c r="J6" s="23" t="inlineStr"/>
      <c r="K6" s="26" t="inlineStr"/>
      <c r="L6" s="23" t="inlineStr">
        <is>
          <t>UMB/C-881</t>
        </is>
      </c>
      <c r="M6" s="31" t="n">
        <v>46492.45833333334</v>
      </c>
    </row>
    <row r="7">
      <c r="A7" s="23" t="inlineStr">
        <is>
          <t>CRT-2728-00003</t>
        </is>
      </c>
      <c r="B7" s="29" t="n">
        <v>46492</v>
      </c>
      <c r="C7" s="23" t="inlineStr">
        <is>
          <t>DEFECT-BACK</t>
        </is>
      </c>
      <c r="D7" s="23" t="inlineStr">
        <is>
          <t>VEN-001</t>
        </is>
      </c>
      <c r="E7" s="23" t="inlineStr">
        <is>
          <t>JWC/27-28/0001-01</t>
        </is>
      </c>
      <c r="F7" s="23" t="inlineStr">
        <is>
          <t>A12-BP-01</t>
        </is>
      </c>
      <c r="G7" s="23" t="n">
        <v>2</v>
      </c>
      <c r="H7" s="25" t="n">
        <v>12.43</v>
      </c>
      <c r="I7" s="23" t="inlineStr">
        <is>
          <t>COATER</t>
        </is>
      </c>
      <c r="J7" s="23" t="inlineStr">
        <is>
          <t>RE-SEND</t>
        </is>
      </c>
      <c r="K7" s="26" t="inlineStr"/>
      <c r="L7" s="23" t="inlineStr">
        <is>
          <t>UMB/C-881</t>
        </is>
      </c>
      <c r="M7" s="31" t="n">
        <v>46492.45833333334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9" customWidth="1" min="7" max="7"/>
    <col width="10" customWidth="1" min="8" max="8"/>
    <col width="10" customWidth="1" min="9" max="9"/>
    <col width="12" customWidth="1" min="10" max="10"/>
  </cols>
  <sheetData>
    <row r="1">
      <c r="A1" s="15" t="inlineStr">
        <is>
          <t>DC HEADER REGISTER - values only</t>
        </is>
      </c>
    </row>
    <row r="2">
      <c r="A2" s="16" t="inlineStr">
        <is>
          <t>DC numbers sequential per FY, no gaps.</t>
        </is>
      </c>
    </row>
    <row r="4" ht="30" customHeight="1">
      <c r="A4" s="21" t="inlineStr">
        <is>
          <t>Challan No</t>
        </is>
      </c>
      <c r="B4" s="21" t="inlineStr">
        <is>
          <t>DC Date</t>
        </is>
      </c>
      <c r="C4" s="21" t="inlineStr">
        <is>
          <t>Customer ID</t>
        </is>
      </c>
      <c r="D4" s="21" t="inlineStr">
        <is>
          <t>Dispatch From</t>
        </is>
      </c>
      <c r="E4" s="21" t="inlineStr">
        <is>
          <t>Vehicle No</t>
        </is>
      </c>
      <c r="F4" s="21" t="inlineStr">
        <is>
          <t>LR No</t>
        </is>
      </c>
      <c r="G4" s="21" t="inlineStr">
        <is>
          <t>Invoice No</t>
        </is>
      </c>
      <c r="H4" s="21" t="inlineStr">
        <is>
          <t>e-Way Bill</t>
        </is>
      </c>
      <c r="I4" s="21" t="inlineStr">
        <is>
          <t>Status</t>
        </is>
      </c>
      <c r="J4" s="21" t="inlineStr">
        <is>
          <t>Posted At</t>
        </is>
      </c>
    </row>
    <row r="5">
      <c r="A5" s="23" t="inlineStr">
        <is>
          <t>DC/27-28/0001</t>
        </is>
      </c>
      <c r="B5" s="29" t="n">
        <v>46491</v>
      </c>
      <c r="C5" s="23" t="inlineStr">
        <is>
          <t>CUS-01</t>
        </is>
      </c>
      <c r="D5" s="23" t="inlineStr">
        <is>
          <t>FACTORY</t>
        </is>
      </c>
      <c r="E5" s="23" t="inlineStr">
        <is>
          <t>GJ06-XX-0101</t>
        </is>
      </c>
      <c r="F5" s="23" t="inlineStr">
        <is>
          <t>[ref]</t>
        </is>
      </c>
      <c r="G5" s="23" t="inlineStr">
        <is>
          <t>[ref]</t>
        </is>
      </c>
      <c r="H5" s="23" t="inlineStr">
        <is>
          <t>[number]</t>
        </is>
      </c>
      <c r="I5" s="23" t="inlineStr">
        <is>
          <t>DISPATCHED</t>
        </is>
      </c>
      <c r="J5" s="31" t="n">
        <v>46491.70833333334</v>
      </c>
    </row>
    <row r="6">
      <c r="A6" s="23" t="inlineStr">
        <is>
          <t>DC/27-28/0002</t>
        </is>
      </c>
      <c r="B6" s="29" t="n">
        <v>46492</v>
      </c>
      <c r="C6" s="23" t="inlineStr">
        <is>
          <t>CUS-01</t>
        </is>
      </c>
      <c r="D6" s="23" t="inlineStr">
        <is>
          <t>VEN-002</t>
        </is>
      </c>
      <c r="E6" s="23" t="inlineStr">
        <is>
          <t>GJ06-XX-0102</t>
        </is>
      </c>
      <c r="F6" s="23" t="inlineStr">
        <is>
          <t>[ref]</t>
        </is>
      </c>
      <c r="G6" s="23" t="inlineStr">
        <is>
          <t>[ref]</t>
        </is>
      </c>
      <c r="H6" s="23" t="inlineStr">
        <is>
          <t>[number]</t>
        </is>
      </c>
      <c r="I6" s="23" t="inlineStr">
        <is>
          <t>DISPATCHED</t>
        </is>
      </c>
      <c r="J6" s="31" t="n">
        <v>46492.5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9" customWidth="1" min="3" max="3"/>
    <col width="14" customWidth="1" min="4" max="4"/>
    <col width="9" customWidth="1" min="5" max="5"/>
    <col width="17" customWidth="1" min="6" max="6"/>
    <col width="10" customWidth="1" min="7" max="7"/>
    <col width="15" customWidth="1" min="8" max="8"/>
    <col width="6" customWidth="1" min="9" max="9"/>
    <col width="5" customWidth="1" min="10" max="10"/>
    <col width="5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5" t="inlineStr">
        <is>
          <t>DC LINE REGISTER - values only</t>
        </is>
      </c>
    </row>
    <row r="2">
      <c r="A2" s="16" t="inlineStr">
        <is>
          <t>UOM, weight per unit and rate frozen at posting.</t>
        </is>
      </c>
    </row>
    <row r="4" ht="30" customHeight="1">
      <c r="A4" s="21" t="inlineStr">
        <is>
          <t>DC Line ID</t>
        </is>
      </c>
      <c r="B4" s="21" t="inlineStr">
        <is>
          <t>Challan No</t>
        </is>
      </c>
      <c r="C4" s="21" t="inlineStr">
        <is>
          <t>DC Date</t>
        </is>
      </c>
      <c r="D4" s="21" t="inlineStr">
        <is>
          <t>Req ID</t>
        </is>
      </c>
      <c r="E4" s="21" t="inlineStr">
        <is>
          <t>Dispatch From</t>
        </is>
      </c>
      <c r="F4" s="21" t="inlineStr">
        <is>
          <t>JWC Line ID</t>
        </is>
      </c>
      <c r="G4" s="21" t="inlineStr">
        <is>
          <t>Part ID</t>
        </is>
      </c>
      <c r="H4" s="21" t="inlineStr">
        <is>
          <t>Batch ID</t>
        </is>
      </c>
      <c r="I4" s="21" t="inlineStr">
        <is>
          <t>Type</t>
        </is>
      </c>
      <c r="J4" s="21" t="inlineStr">
        <is>
          <t>Qty</t>
        </is>
      </c>
      <c r="K4" s="21" t="inlineStr">
        <is>
          <t>UOM</t>
        </is>
      </c>
      <c r="L4" s="21" t="inlineStr">
        <is>
          <t>Wt kg</t>
        </is>
      </c>
      <c r="M4" s="21" t="inlineStr">
        <is>
          <t>Challan Qty</t>
        </is>
      </c>
      <c r="N4" s="21" t="inlineStr">
        <is>
          <t>Rate Rs/kg</t>
        </is>
      </c>
      <c r="O4" s="21" t="inlineStr">
        <is>
          <t>Value Rs</t>
        </is>
      </c>
    </row>
    <row r="5">
      <c r="A5" s="23" t="inlineStr">
        <is>
          <t>DC/27-28/0001-01</t>
        </is>
      </c>
      <c r="B5" s="23" t="inlineStr">
        <is>
          <t>DC/27-28/0001</t>
        </is>
      </c>
      <c r="C5" s="29" t="n">
        <v>46491</v>
      </c>
      <c r="D5" s="23" t="inlineStr">
        <is>
          <t>REQ-2728-00002</t>
        </is>
      </c>
      <c r="E5" s="23" t="inlineStr">
        <is>
          <t>FACTORY</t>
        </is>
      </c>
      <c r="F5" s="23" t="inlineStr"/>
      <c r="G5" s="23" t="inlineStr">
        <is>
          <t>A12-BP-01</t>
        </is>
      </c>
      <c r="H5" s="23" t="inlineStr">
        <is>
          <t>ISS-2728-000001</t>
        </is>
      </c>
      <c r="I5" s="23" t="inlineStr">
        <is>
          <t>SALE</t>
        </is>
      </c>
      <c r="J5" s="23" t="n">
        <v>25</v>
      </c>
      <c r="K5" s="23" t="inlineStr">
        <is>
          <t>QTY</t>
        </is>
      </c>
      <c r="L5" s="25" t="n">
        <v>155.375</v>
      </c>
      <c r="M5" s="23" t="n">
        <v>25</v>
      </c>
      <c r="N5" s="25" t="n">
        <v>173.24</v>
      </c>
      <c r="O5" s="26" t="n">
        <v>26917.17</v>
      </c>
    </row>
    <row r="6">
      <c r="A6" s="23" t="inlineStr">
        <is>
          <t>DC/27-28/0002-01</t>
        </is>
      </c>
      <c r="B6" s="23" t="inlineStr">
        <is>
          <t>DC/27-28/0002</t>
        </is>
      </c>
      <c r="C6" s="29" t="n">
        <v>46492</v>
      </c>
      <c r="D6" s="23" t="inlineStr"/>
      <c r="E6" s="23" t="inlineStr">
        <is>
          <t>VEN-002</t>
        </is>
      </c>
      <c r="F6" s="23" t="inlineStr">
        <is>
          <t>JWC/27-28/0002-01</t>
        </is>
      </c>
      <c r="G6" s="23" t="inlineStr">
        <is>
          <t>B07-CB-02</t>
        </is>
      </c>
      <c r="H6" s="23" t="inlineStr">
        <is>
          <t>ISS-2728-000002</t>
        </is>
      </c>
      <c r="I6" s="23" t="inlineStr">
        <is>
          <t>SALE</t>
        </is>
      </c>
      <c r="J6" s="23" t="n">
        <v>60</v>
      </c>
      <c r="K6" s="23" t="inlineStr">
        <is>
          <t>QTY</t>
        </is>
      </c>
      <c r="L6" s="25" t="n">
        <v>69</v>
      </c>
      <c r="M6" s="23" t="n">
        <v>60</v>
      </c>
      <c r="N6" s="25" t="n">
        <v>165.1</v>
      </c>
      <c r="O6" s="26" t="n">
        <v>11391.9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zoomScale="90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6" customWidth="1" min="5" max="5"/>
    <col width="7" customWidth="1" min="6" max="6"/>
    <col width="7" customWidth="1" min="7" max="7"/>
    <col width="7" customWidth="1" min="8" max="8"/>
    <col width="8" customWidth="1" min="9" max="9"/>
    <col width="8" customWidth="1" min="10" max="10"/>
    <col width="5" customWidth="1" min="11" max="11"/>
    <col width="20" customWidth="1" min="12" max="12"/>
  </cols>
  <sheetData>
    <row r="1">
      <c r="A1" s="15" t="inlineStr">
        <is>
          <t>OPEN JWC / AT-COATER BALANCE (calculated)</t>
        </is>
      </c>
    </row>
    <row r="2">
      <c r="A2" s="16" t="inlineStr">
        <is>
          <t>Pending = sent - back OK - defect back - direct dispatch. Ageing from JWC date.</t>
        </is>
      </c>
    </row>
    <row r="3">
      <c r="A3" s="32" t="inlineStr">
        <is>
          <t>Coater opening (cut-over) qty:</t>
        </is>
      </c>
      <c r="B3" s="33">
        <f>SUMIFS('Coater Move Register'!$G$5:$G$400,'Coater Move Register'!$C$5:$C$400,"OPENING")</f>
        <v/>
      </c>
    </row>
    <row r="4" ht="30" customHeight="1">
      <c r="A4" s="21" t="inlineStr">
        <is>
          <t>JWC Line ID</t>
        </is>
      </c>
      <c r="B4" s="21" t="inlineStr">
        <is>
          <t>Vendor ID</t>
        </is>
      </c>
      <c r="C4" s="21" t="inlineStr">
        <is>
          <t>JWC Date</t>
        </is>
      </c>
      <c r="D4" s="21" t="inlineStr">
        <is>
          <t>Part ID</t>
        </is>
      </c>
      <c r="E4" s="21" t="inlineStr">
        <is>
          <t>Sent</t>
        </is>
      </c>
      <c r="F4" s="21" t="inlineStr">
        <is>
          <t>Back OK</t>
        </is>
      </c>
      <c r="G4" s="21" t="inlineStr">
        <is>
          <t>Defect Back</t>
        </is>
      </c>
      <c r="H4" s="21" t="inlineStr">
        <is>
          <t>Direct DC</t>
        </is>
      </c>
      <c r="I4" s="21" t="inlineStr">
        <is>
          <t>Pending Qty</t>
        </is>
      </c>
      <c r="J4" s="21" t="inlineStr">
        <is>
          <t>Pending kg</t>
        </is>
      </c>
      <c r="K4" s="21" t="inlineStr">
        <is>
          <t>Days</t>
        </is>
      </c>
      <c r="L4" s="21" t="inlineStr">
        <is>
          <t>Status</t>
        </is>
      </c>
    </row>
    <row r="5">
      <c r="A5" s="22" t="inlineStr">
        <is>
          <t>JWC/27-28/0001-01</t>
        </is>
      </c>
      <c r="B5" s="22">
        <f>INDEX('JWC Line Register'!$D$5:$D$400,MATCH(A5,'JWC Line Register'!$A$5:$A$400,0))</f>
        <v/>
      </c>
      <c r="C5" s="34">
        <f>INDEX('JWC Line Register'!$C$5:$C$400,MATCH(A5,'JWC Line Register'!$A$5:$A$400,0))</f>
        <v/>
      </c>
      <c r="D5" s="22">
        <f>INDEX('JWC Line Register'!$F$5:$F$400,MATCH(A5,'JWC Line Register'!$A$5:$A$400,0))</f>
        <v/>
      </c>
      <c r="E5" s="22">
        <f>INDEX('JWC Line Register'!$G$5:$G$400,MATCH(A5,'JWC Line Register'!$A$5:$A$400,0))</f>
        <v/>
      </c>
      <c r="F5" s="23">
        <f>SUMIFS('Coater Move Register'!$G$5:$G$400,'Coater Move Register'!$E$5:$E$400,A5,'Coater Move Register'!$C$5:$C$400,"BACK-OK")</f>
        <v/>
      </c>
      <c r="G5" s="23">
        <f>SUMIFS('Coater Move Register'!$G$5:$G$400,'Coater Move Register'!$E$5:$E$400,A5,'Coater Move Register'!$C$5:$C$400,"DEFECT-BACK")</f>
        <v/>
      </c>
      <c r="H5" s="23">
        <f>SUMIFS('DC Line Register'!$J$5:$J$400,'DC Line Register'!$F$5:$F$400,A5)</f>
        <v/>
      </c>
      <c r="I5" s="30">
        <f>E5-F5-G5-H5</f>
        <v/>
      </c>
      <c r="J5" s="25">
        <f>ROUND(I5*INDEX('JWC Line Register'!$H$5:$H$400,MATCH(A5,'JWC Line Register'!$A$5:$A$400,0))/E5,3)</f>
        <v/>
      </c>
      <c r="K5" s="23">
        <f>'Settings'!$B$7-C5</f>
        <v/>
      </c>
      <c r="L5" s="27">
        <f>IF(I5&lt;0,"BREACH - more back than sent",IF(I5=0,"CLOSED",IF(K5&gt;'Settings'!$B$11,"WARN: over age",IF(F5+G5+H5&gt;0,"PART RETURNED","PENDING"))))</f>
        <v/>
      </c>
    </row>
    <row r="6">
      <c r="A6" s="22" t="inlineStr">
        <is>
          <t>JWC/27-28/0002-01</t>
        </is>
      </c>
      <c r="B6" s="22">
        <f>INDEX('JWC Line Register'!$D$5:$D$400,MATCH(A6,'JWC Line Register'!$A$5:$A$400,0))</f>
        <v/>
      </c>
      <c r="C6" s="34">
        <f>INDEX('JWC Line Register'!$C$5:$C$400,MATCH(A6,'JWC Line Register'!$A$5:$A$400,0))</f>
        <v/>
      </c>
      <c r="D6" s="22">
        <f>INDEX('JWC Line Register'!$F$5:$F$400,MATCH(A6,'JWC Line Register'!$A$5:$A$400,0))</f>
        <v/>
      </c>
      <c r="E6" s="22">
        <f>INDEX('JWC Line Register'!$G$5:$G$400,MATCH(A6,'JWC Line Register'!$A$5:$A$400,0))</f>
        <v/>
      </c>
      <c r="F6" s="23">
        <f>SUMIFS('Coater Move Register'!$G$5:$G$400,'Coater Move Register'!$E$5:$E$400,A6,'Coater Move Register'!$C$5:$C$400,"BACK-OK")</f>
        <v/>
      </c>
      <c r="G6" s="23">
        <f>SUMIFS('Coater Move Register'!$G$5:$G$400,'Coater Move Register'!$E$5:$E$400,A6,'Coater Move Register'!$C$5:$C$400,"DEFECT-BACK")</f>
        <v/>
      </c>
      <c r="H6" s="23">
        <f>SUMIFS('DC Line Register'!$J$5:$J$400,'DC Line Register'!$F$5:$F$400,A6)</f>
        <v/>
      </c>
      <c r="I6" s="30">
        <f>E6-F6-G6-H6</f>
        <v/>
      </c>
      <c r="J6" s="25">
        <f>ROUND(I6*INDEX('JWC Line Register'!$H$5:$H$400,MATCH(A6,'JWC Line Register'!$A$5:$A$400,0))/E6,3)</f>
        <v/>
      </c>
      <c r="K6" s="23">
        <f>'Settings'!$B$7-C6</f>
        <v/>
      </c>
      <c r="L6" s="27">
        <f>IF(I6&lt;0,"BREACH - more back than sent",IF(I6=0,"CLOSED",IF(K6&gt;'Settings'!$B$11,"WARN: over age",IF(F6+G6+H6&gt;0,"PART RETURNED","PENDING"))))</f>
        <v/>
      </c>
    </row>
  </sheetData>
  <conditionalFormatting sqref="L5:L6">
    <cfRule type="expression" priority="1" dxfId="0" stopIfTrue="1">
      <formula>OR(LEFT(L5,5)="READY",L5="OK",LEFT(L5,6)="CLOSED")</formula>
    </cfRule>
    <cfRule type="expression" priority="2" dxfId="1" stopIfTrue="1">
      <formula>OR(LEFT(L5,4)="WARN",LEFT(L5,2)="IN",LEFT(L5,3)="NOT",LEFT(L5,7)="REORDER",LEFT(L5,5)="STALE",LEFT(L5,4)="PART",LEFT(L5,7)="PENDING",LEFT(L5,5)="READY")</formula>
    </cfRule>
    <cfRule type="expression" priority="3" dxfId="2">
      <formula>LEN(L5)&gt;0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6" customWidth="1" min="7" max="7"/>
  </cols>
  <sheetData>
    <row r="1">
      <c r="A1" s="15" t="inlineStr">
        <is>
          <t>FINISHED-GOODS BALANCE - transaction-calculated (no counts)</t>
        </is>
      </c>
    </row>
    <row r="2">
      <c r="A2" s="16" t="inlineStr">
        <is>
          <t>FG = opening + coater BACK-OK + uncoated final-stage completion - dispatch from factory +/- authorised adjustment.</t>
        </is>
      </c>
    </row>
    <row r="4" ht="30" customHeight="1">
      <c r="A4" s="21" t="inlineStr">
        <is>
          <t>Part ID</t>
        </is>
      </c>
      <c r="B4" s="21" t="inlineStr">
        <is>
          <t>FG Opening</t>
        </is>
      </c>
      <c r="C4" s="21" t="inlineStr">
        <is>
          <t>In: Back OK</t>
        </is>
      </c>
      <c r="D4" s="21" t="inlineStr">
        <is>
          <t>In: Uncoated</t>
        </is>
      </c>
      <c r="E4" s="21" t="inlineStr">
        <is>
          <t>Out: DC from Factory</t>
        </is>
      </c>
      <c r="F4" s="21" t="inlineStr">
        <is>
          <t>FG Available</t>
        </is>
      </c>
      <c r="G4" s="21" t="inlineStr">
        <is>
          <t>Status</t>
        </is>
      </c>
    </row>
    <row r="5">
      <c r="A5" s="22" t="inlineStr">
        <is>
          <t>A12-BP-01</t>
        </is>
      </c>
      <c r="B5" s="22" t="n">
        <v>0</v>
      </c>
      <c r="C5" s="23">
        <f>SUMIFS('Coater Move Register'!$G$5:$G$400,'Coater Move Register'!$F$5:$F$400,A5,'Coater Move Register'!$C$5:$C$400,"BACK-OK")</f>
        <v/>
      </c>
      <c r="D5" s="22" t="n">
        <v>0</v>
      </c>
      <c r="E5" s="23">
        <f>SUMIFS('DC Line Register'!$J$5:$J$400,'DC Line Register'!$G$5:$G$400,A5,'DC Line Register'!$E$5:$E$400,"FACTORY")</f>
        <v/>
      </c>
      <c r="F5" s="30">
        <f>B5+C5+D5-E5</f>
        <v/>
      </c>
      <c r="G5" s="27">
        <f>IF(F5&lt;0,"BREACH - negative FG","OK")</f>
        <v/>
      </c>
    </row>
    <row r="6">
      <c r="A6" s="22" t="inlineStr">
        <is>
          <t>B07-CB-02</t>
        </is>
      </c>
      <c r="B6" s="22" t="n">
        <v>0</v>
      </c>
      <c r="C6" s="23">
        <f>SUMIFS('Coater Move Register'!$G$5:$G$400,'Coater Move Register'!$F$5:$F$400,A6,'Coater Move Register'!$C$5:$C$400,"BACK-OK")</f>
        <v/>
      </c>
      <c r="D6" s="22" t="n">
        <v>0</v>
      </c>
      <c r="E6" s="23">
        <f>SUMIFS('DC Line Register'!$J$5:$J$400,'DC Line Register'!$G$5:$G$400,A6,'DC Line Register'!$E$5:$E$400,"FACTORY")</f>
        <v/>
      </c>
      <c r="F6" s="30">
        <f>B6+C6+D6-E6</f>
        <v/>
      </c>
      <c r="G6" s="27">
        <f>IF(F6&lt;0,"BREACH - negative FG","OK")</f>
        <v/>
      </c>
    </row>
    <row r="7">
      <c r="A7" s="22" t="inlineStr">
        <is>
          <t>C03-FR-01</t>
        </is>
      </c>
      <c r="B7" s="22" t="n">
        <v>0</v>
      </c>
      <c r="C7" s="23">
        <f>SUMIFS('Coater Move Register'!$G$5:$G$400,'Coater Move Register'!$F$5:$F$400,A7,'Coater Move Register'!$C$5:$C$400,"BACK-OK")</f>
        <v/>
      </c>
      <c r="D7" s="22" t="n">
        <v>0</v>
      </c>
      <c r="E7" s="23">
        <f>SUMIFS('DC Line Register'!$J$5:$J$400,'DC Line Register'!$G$5:$G$400,A7,'DC Line Register'!$E$5:$E$400,"FACTORY")</f>
        <v/>
      </c>
      <c r="F7" s="30">
        <f>B7+C7+D7-E7</f>
        <v/>
      </c>
      <c r="G7" s="27">
        <f>IF(F7&lt;0,"BREACH - negative FG","OK")</f>
        <v/>
      </c>
    </row>
  </sheetData>
  <conditionalFormatting sqref="G5:G7">
    <cfRule type="expression" priority="1" dxfId="0" stopIfTrue="1">
      <formula>OR(LEFT(G5,5)="READY",G5="OK",LEFT(G5,6)="CLOSED")</formula>
    </cfRule>
    <cfRule type="expression" priority="2" dxfId="1" stopIfTrue="1">
      <formula>OR(LEFT(G5,4)="WARN",LEFT(G5,2)="IN",LEFT(G5,3)="NOT",LEFT(G5,7)="REORDER",LEFT(G5,5)="STALE",LEFT(G5,4)="PART",LEFT(G5,7)="PENDING",LEFT(G5,5)="READY")</formula>
    </cfRule>
    <cfRule type="expression" priority="3" dxfId="2">
      <formula>LEN(G5)&gt;0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18" customWidth="1" min="4" max="4"/>
    <col width="18" customWidth="1" min="5" max="5"/>
    <col width="9" customWidth="1" min="6" max="6"/>
    <col width="6" customWidth="1" min="7" max="7"/>
  </cols>
  <sheetData>
    <row r="1">
      <c r="A1" s="15" t="inlineStr">
        <is>
          <t>CUSTOMERS</t>
        </is>
      </c>
    </row>
    <row r="2">
      <c r="A2" s="16" t="inlineStr">
        <is>
          <t>Dispatch UOM is mandatory. Email = plain reference only.</t>
        </is>
      </c>
    </row>
    <row r="4" ht="30" customHeight="1">
      <c r="A4" s="21" t="inlineStr">
        <is>
          <t>Customer ID</t>
        </is>
      </c>
      <c r="B4" s="21" t="inlineStr">
        <is>
          <t>Customer Name</t>
        </is>
      </c>
      <c r="C4" s="21" t="inlineStr">
        <is>
          <t>State Code</t>
        </is>
      </c>
      <c r="D4" s="21" t="inlineStr">
        <is>
          <t>GSTIN</t>
        </is>
      </c>
      <c r="E4" s="21" t="inlineStr">
        <is>
          <t>Tally Ledger</t>
        </is>
      </c>
      <c r="F4" s="21" t="inlineStr">
        <is>
          <t>Dispatch UOM</t>
        </is>
      </c>
      <c r="G4" s="21" t="inlineStr">
        <is>
          <t>Active</t>
        </is>
      </c>
    </row>
    <row r="5">
      <c r="A5" s="24" t="inlineStr">
        <is>
          <t>CUS-01</t>
        </is>
      </c>
      <c r="B5" s="24" t="inlineStr">
        <is>
          <t>Customer 1 (masked)</t>
        </is>
      </c>
      <c r="C5" s="24" t="inlineStr">
        <is>
          <t>27</t>
        </is>
      </c>
      <c r="D5" s="24" t="inlineStr">
        <is>
          <t>27XXXXX0000X1Z5</t>
        </is>
      </c>
      <c r="E5" s="24" t="inlineStr">
        <is>
          <t>CUSTOMER 1 LTD</t>
        </is>
      </c>
      <c r="F5" s="24" t="inlineStr">
        <is>
          <t>QTY</t>
        </is>
      </c>
      <c r="G5" s="24" t="inlineStr">
        <is>
          <t>Yes</t>
        </is>
      </c>
    </row>
    <row r="6">
      <c r="A6" s="24" t="inlineStr">
        <is>
          <t>CUS-02</t>
        </is>
      </c>
      <c r="B6" s="24" t="inlineStr">
        <is>
          <t>Customer 2 (masked)</t>
        </is>
      </c>
      <c r="C6" s="24" t="inlineStr">
        <is>
          <t>24</t>
        </is>
      </c>
      <c r="D6" s="24" t="inlineStr">
        <is>
          <t>24XXXXX0000X1Z8</t>
        </is>
      </c>
      <c r="E6" s="24" t="inlineStr">
        <is>
          <t>CUSTOMER 2</t>
        </is>
      </c>
      <c r="F6" s="24" t="inlineStr">
        <is>
          <t>KG</t>
        </is>
      </c>
      <c r="G6" s="2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6" customWidth="1" min="4" max="4"/>
    <col width="10" customWidth="1" min="5" max="5"/>
    <col width="9" customWidth="1" min="6" max="6"/>
    <col width="10" customWidth="1" min="7" max="7"/>
  </cols>
  <sheetData>
    <row r="1">
      <c r="A1" s="15" t="inlineStr">
        <is>
          <t>CUSTOMER PRICE &amp; UOM - effective-dated</t>
        </is>
      </c>
    </row>
    <row r="2">
      <c r="A2" s="16" t="inlineStr">
        <is>
          <t>A new rate is a new row with a new Effective From; posted DC lines keep their rate.</t>
        </is>
      </c>
    </row>
    <row r="4" ht="30" customHeight="1">
      <c r="A4" s="21" t="inlineStr">
        <is>
          <t>Customer ID</t>
        </is>
      </c>
      <c r="B4" s="21" t="inlineStr">
        <is>
          <t>Product ID</t>
        </is>
      </c>
      <c r="C4" s="21" t="inlineStr">
        <is>
          <t>Part ID</t>
        </is>
      </c>
      <c r="D4" s="21" t="inlineStr">
        <is>
          <t>UOM</t>
        </is>
      </c>
      <c r="E4" s="21" t="inlineStr">
        <is>
          <t>Wt per Unit kg</t>
        </is>
      </c>
      <c r="F4" s="21" t="inlineStr">
        <is>
          <t>Rate Rs/kg</t>
        </is>
      </c>
      <c r="G4" s="21" t="inlineStr">
        <is>
          <t>Effective From</t>
        </is>
      </c>
    </row>
    <row r="5">
      <c r="A5" s="24" t="inlineStr">
        <is>
          <t>CUS-01</t>
        </is>
      </c>
      <c r="B5" s="24" t="inlineStr">
        <is>
          <t>PRD-A12</t>
        </is>
      </c>
      <c r="C5" s="24" t="inlineStr">
        <is>
          <t>A12-BP-01</t>
        </is>
      </c>
      <c r="D5" s="24" t="inlineStr">
        <is>
          <t>QTY</t>
        </is>
      </c>
      <c r="E5" s="35" t="n">
        <v>6.215</v>
      </c>
      <c r="F5" s="35" t="n">
        <v>173.24</v>
      </c>
      <c r="G5" s="28" t="n">
        <v>46478</v>
      </c>
    </row>
    <row r="6">
      <c r="A6" s="24" t="inlineStr">
        <is>
          <t>CUS-01</t>
        </is>
      </c>
      <c r="B6" s="24" t="inlineStr">
        <is>
          <t>PRD-B07</t>
        </is>
      </c>
      <c r="C6" s="24" t="inlineStr">
        <is>
          <t>B07-CB-02</t>
        </is>
      </c>
      <c r="D6" s="24" t="inlineStr">
        <is>
          <t>QTY</t>
        </is>
      </c>
      <c r="E6" s="35" t="n">
        <v>1.15</v>
      </c>
      <c r="F6" s="35" t="n">
        <v>165.1</v>
      </c>
      <c r="G6" s="28" t="n">
        <v>46478</v>
      </c>
    </row>
    <row r="7">
      <c r="A7" s="24" t="inlineStr">
        <is>
          <t>CUS-02</t>
        </is>
      </c>
      <c r="B7" s="24" t="inlineStr">
        <is>
          <t>PRD-C03</t>
        </is>
      </c>
      <c r="C7" s="24" t="inlineStr">
        <is>
          <t>C03-FR-01</t>
        </is>
      </c>
      <c r="D7" s="24" t="inlineStr">
        <is>
          <t>KG</t>
        </is>
      </c>
      <c r="E7" s="35" t="n">
        <v>12.4</v>
      </c>
      <c r="F7" s="35" t="n">
        <v>92.5</v>
      </c>
      <c r="G7" s="28" t="n">
        <v>46478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8" customWidth="1" min="4" max="4"/>
  </cols>
  <sheetData>
    <row r="1">
      <c r="A1" s="15" t="inlineStr">
        <is>
          <t>VENDORS / COATERS</t>
        </is>
      </c>
    </row>
    <row r="2">
      <c r="A2" s="16" t="inlineStr">
        <is>
          <t>Identity only; rates are in Coater Rate.</t>
        </is>
      </c>
    </row>
    <row r="4" ht="30" customHeight="1">
      <c r="A4" s="21" t="inlineStr">
        <is>
          <t>Vendor ID</t>
        </is>
      </c>
      <c r="B4" s="21" t="inlineStr">
        <is>
          <t>Vendor Name</t>
        </is>
      </c>
      <c r="C4" s="21" t="inlineStr">
        <is>
          <t>GSTIN</t>
        </is>
      </c>
      <c r="D4" s="21" t="inlineStr">
        <is>
          <t>Status</t>
        </is>
      </c>
    </row>
    <row r="5">
      <c r="A5" s="24" t="inlineStr">
        <is>
          <t>VEN-001</t>
        </is>
      </c>
      <c r="B5" s="24" t="inlineStr">
        <is>
          <t>Coater 1 (masked)</t>
        </is>
      </c>
      <c r="C5" s="24" t="inlineStr">
        <is>
          <t>24XXXXX0000X1Z3</t>
        </is>
      </c>
      <c r="D5" s="24" t="inlineStr">
        <is>
          <t>Active</t>
        </is>
      </c>
    </row>
    <row r="6">
      <c r="A6" s="24" t="inlineStr">
        <is>
          <t>VEN-002</t>
        </is>
      </c>
      <c r="B6" s="24" t="inlineStr">
        <is>
          <t>Coater 2 (masked)</t>
        </is>
      </c>
      <c r="C6" s="24" t="inlineStr">
        <is>
          <t>24XXXXX0000X1Z4</t>
        </is>
      </c>
      <c r="D6" s="2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0" customWidth="1" min="4" max="4"/>
  </cols>
  <sheetData>
    <row r="1">
      <c r="A1" s="15" t="inlineStr">
        <is>
          <t>COATER RATE - effective-dated</t>
        </is>
      </c>
    </row>
    <row r="2">
      <c r="A2" s="16" t="inlineStr">
        <is>
          <t>JWC lines copy the rate in force on the JWC date.</t>
        </is>
      </c>
    </row>
    <row r="4" ht="30" customHeight="1">
      <c r="A4" s="21" t="inlineStr">
        <is>
          <t>Vendor ID</t>
        </is>
      </c>
      <c r="B4" s="21" t="inlineStr">
        <is>
          <t>Basis</t>
        </is>
      </c>
      <c r="C4" s="21" t="inlineStr">
        <is>
          <t>Rate Rs</t>
        </is>
      </c>
      <c r="D4" s="21" t="inlineStr">
        <is>
          <t>Effective From</t>
        </is>
      </c>
    </row>
    <row r="5">
      <c r="A5" s="24" t="inlineStr">
        <is>
          <t>VEN-001</t>
        </is>
      </c>
      <c r="B5" s="24" t="inlineStr">
        <is>
          <t>SQFT</t>
        </is>
      </c>
      <c r="C5" s="36" t="n">
        <v>13.5</v>
      </c>
      <c r="D5" s="28" t="n">
        <v>46478</v>
      </c>
    </row>
    <row r="6">
      <c r="A6" s="24" t="inlineStr">
        <is>
          <t>VEN-002</t>
        </is>
      </c>
      <c r="B6" s="24" t="inlineStr">
        <is>
          <t>KG</t>
        </is>
      </c>
      <c r="C6" s="36" t="n">
        <v>27</v>
      </c>
      <c r="D6" s="28" t="n">
        <v>46478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7" customWidth="1" min="4" max="4"/>
    <col width="12" customWidth="1" min="5" max="5"/>
  </cols>
  <sheetData>
    <row r="1">
      <c r="A1" s="15" t="inlineStr">
        <is>
          <t>X_PRODUCT / PART - from Production (values)</t>
        </is>
      </c>
    </row>
    <row r="2">
      <c r="A2" s="16" t="inlineStr">
        <is>
          <t>Power Query extract.</t>
        </is>
      </c>
    </row>
    <row r="4" ht="30" customHeight="1">
      <c r="A4" s="21" t="inlineStr">
        <is>
          <t>Part ID</t>
        </is>
      </c>
      <c r="B4" s="21" t="inlineStr">
        <is>
          <t>Product ID</t>
        </is>
      </c>
      <c r="C4" s="21" t="inlineStr">
        <is>
          <t>Wt/pc kg</t>
        </is>
      </c>
      <c r="D4" s="21" t="inlineStr">
        <is>
          <t>Sq ft/pc</t>
        </is>
      </c>
      <c r="E4" s="21" t="inlineStr">
        <is>
          <t>Coating Route</t>
        </is>
      </c>
    </row>
    <row r="5">
      <c r="A5" s="22" t="inlineStr">
        <is>
          <t>A12-BP-01</t>
        </is>
      </c>
      <c r="B5" s="22" t="inlineStr">
        <is>
          <t>PRD-A12</t>
        </is>
      </c>
      <c r="C5" s="37" t="n">
        <v>6.215</v>
      </c>
      <c r="D5" s="22" t="n">
        <v>4.15</v>
      </c>
      <c r="E5" s="22" t="inlineStr">
        <is>
          <t>POWDER COAT</t>
        </is>
      </c>
    </row>
    <row r="6">
      <c r="A6" s="22" t="inlineStr">
        <is>
          <t>A12-SP-04</t>
        </is>
      </c>
      <c r="B6" s="22" t="inlineStr">
        <is>
          <t>PRD-A12</t>
        </is>
      </c>
      <c r="C6" s="37" t="n">
        <v>2.01</v>
      </c>
      <c r="D6" s="22" t="n">
        <v>1.6</v>
      </c>
      <c r="E6" s="22" t="inlineStr">
        <is>
          <t>POWDER COAT</t>
        </is>
      </c>
    </row>
    <row r="7">
      <c r="A7" s="22" t="inlineStr">
        <is>
          <t>B07-CB-02</t>
        </is>
      </c>
      <c r="B7" s="22" t="inlineStr">
        <is>
          <t>PRD-B07</t>
        </is>
      </c>
      <c r="C7" s="37" t="n">
        <v>1.15</v>
      </c>
      <c r="D7" s="22" t="n">
        <v>0.9</v>
      </c>
      <c r="E7" s="22" t="inlineStr">
        <is>
          <t>POWDER COAT</t>
        </is>
      </c>
    </row>
    <row r="8">
      <c r="A8" s="22" t="inlineStr">
        <is>
          <t>C03-FR-01</t>
        </is>
      </c>
      <c r="B8" s="22" t="inlineStr">
        <is>
          <t>PRD-C03</t>
        </is>
      </c>
      <c r="C8" s="37" t="n">
        <v>12.4</v>
      </c>
      <c r="D8" s="22" t="n">
        <v>6.2</v>
      </c>
      <c r="E8" s="22" t="inlineStr">
        <is>
          <t>NO COATING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9" customWidth="1" min="4" max="4"/>
    <col width="9" customWidth="1" min="5" max="5"/>
    <col width="15" customWidth="1" min="6" max="6"/>
  </cols>
  <sheetData>
    <row r="1">
      <c r="A1" s="15" t="inlineStr">
        <is>
          <t>X_PROD OUTPUT - QC-OK parts available to send (values)</t>
        </is>
      </c>
    </row>
    <row r="2">
      <c r="A2" s="16" t="inlineStr">
        <is>
          <t>From Production: completed at the last route stage, net of rejections, by batch.</t>
        </is>
      </c>
    </row>
    <row r="4" ht="30" customHeight="1">
      <c r="A4" s="21" t="inlineStr">
        <is>
          <t>Batch ID</t>
        </is>
      </c>
      <c r="B4" s="21" t="inlineStr">
        <is>
          <t>Part ID</t>
        </is>
      </c>
      <c r="C4" s="21" t="inlineStr">
        <is>
          <t>QC-OK Qty</t>
        </is>
      </c>
      <c r="D4" s="21" t="inlineStr">
        <is>
          <t>Already on JWC</t>
        </is>
      </c>
      <c r="E4" s="21" t="inlineStr">
        <is>
          <t>Available to Send</t>
        </is>
      </c>
      <c r="F4" s="21" t="inlineStr">
        <is>
          <t>Run ID</t>
        </is>
      </c>
    </row>
    <row r="5">
      <c r="A5" s="22" t="inlineStr">
        <is>
          <t>ISS-2728-000001</t>
        </is>
      </c>
      <c r="B5" s="22" t="inlineStr">
        <is>
          <t>A12-BP-01</t>
        </is>
      </c>
      <c r="C5" s="22" t="n">
        <v>49</v>
      </c>
      <c r="D5" s="22">
        <f>SUMIFS('JWC Line Register'!$G$5:$G$400,'JWC Line Register'!$E$5:$E$400,A5,'JWC Line Register'!$F$5:$F$400,B5)</f>
        <v/>
      </c>
      <c r="E5" s="23">
        <f>C5-D5</f>
        <v/>
      </c>
      <c r="F5" s="22" t="inlineStr">
        <is>
          <t>RUN-270415-0800</t>
        </is>
      </c>
    </row>
    <row r="6">
      <c r="A6" s="22" t="inlineStr">
        <is>
          <t>ISS-2728-000002</t>
        </is>
      </c>
      <c r="B6" s="22" t="inlineStr">
        <is>
          <t>B07-CB-02</t>
        </is>
      </c>
      <c r="C6" s="22" t="n">
        <v>280</v>
      </c>
      <c r="D6" s="22">
        <f>SUMIFS('JWC Line Register'!$G$5:$G$400,'JWC Line Register'!$E$5:$E$400,A6,'JWC Line Register'!$F$5:$F$400,B6)</f>
        <v/>
      </c>
      <c r="E6" s="23">
        <f>C6-D6</f>
        <v/>
      </c>
      <c r="F6" s="22" t="inlineStr">
        <is>
          <t>RUN-270415-0800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zoomScale="90"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0" customWidth="1" min="3" max="3"/>
    <col width="12" customWidth="1" min="4" max="4"/>
  </cols>
  <sheetData>
    <row r="1">
      <c r="A1" s="15" t="inlineStr">
        <is>
          <t>CONTROL TOTALS - read by MIS</t>
        </is>
      </c>
    </row>
    <row r="2">
      <c r="A2" s="16" t="inlineStr">
        <is>
          <t>Rows and totals per register.</t>
        </is>
      </c>
    </row>
    <row r="4" ht="30" customHeight="1">
      <c r="A4" s="21" t="inlineStr">
        <is>
          <t>Register</t>
        </is>
      </c>
      <c r="B4" s="21" t="inlineStr">
        <is>
          <t>Rows</t>
        </is>
      </c>
      <c r="C4" s="21" t="inlineStr">
        <is>
          <t>Total Qty</t>
        </is>
      </c>
      <c r="D4" s="21" t="inlineStr">
        <is>
          <t>Total kg / Rs</t>
        </is>
      </c>
    </row>
    <row r="5">
      <c r="A5" s="22" t="inlineStr">
        <is>
          <t>JWC Line Register</t>
        </is>
      </c>
      <c r="B5" s="23">
        <f>COUNTA('JWC Line Register'!$A$5:$A$400)</f>
        <v/>
      </c>
      <c r="C5" s="23">
        <f>SUM('JWC Line Register'!$G$5:$G$400)</f>
        <v/>
      </c>
      <c r="D5" s="25">
        <f>SUM('JWC Line Register'!$H$5:$H$400)</f>
        <v/>
      </c>
    </row>
    <row r="6">
      <c r="A6" s="22" t="inlineStr">
        <is>
          <t>Coater Move Register</t>
        </is>
      </c>
      <c r="B6" s="23">
        <f>COUNTA('Coater Move Register'!$A$5:$A$400)</f>
        <v/>
      </c>
      <c r="C6" s="23">
        <f>SUM('Coater Move Register'!$G$5:$G$400)</f>
        <v/>
      </c>
      <c r="D6" s="25">
        <f>SUM('Coater Move Register'!$H$5:$H$400)</f>
        <v/>
      </c>
    </row>
    <row r="7">
      <c r="A7" s="22" t="inlineStr">
        <is>
          <t>DC Line Register</t>
        </is>
      </c>
      <c r="B7" s="23">
        <f>COUNTA('DC Line Register'!$A$5:$A$400)</f>
        <v/>
      </c>
      <c r="C7" s="23">
        <f>SUM('DC Line Register'!$J$5:$J$400)</f>
        <v/>
      </c>
      <c r="D7" s="25">
        <f>SUM('DC Line Register'!$O$5:$O$400)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zoomScale="9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>
      <c r="A1" s="15" t="inlineStr">
        <is>
          <t>SETTINGS</t>
        </is>
      </c>
    </row>
    <row r="2">
      <c r="A2" s="16" t="inlineStr">
        <is>
          <t>The only place parameters are set. Typed values - no TODAY(), no CELL(). Every change goes to the Change Log.</t>
        </is>
      </c>
    </row>
    <row r="4" ht="30" customHeight="1">
      <c r="A4" s="21" t="inlineStr">
        <is>
          <t>Setting</t>
        </is>
      </c>
      <c r="B4" s="21" t="inlineStr">
        <is>
          <t>Value</t>
        </is>
      </c>
      <c r="C4" s="21" t="inlineStr">
        <is>
          <t>Note</t>
        </is>
      </c>
    </row>
    <row r="5">
      <c r="A5" s="38" t="inlineStr">
        <is>
          <t>FY</t>
        </is>
      </c>
      <c r="B5" s="36" t="inlineStr">
        <is>
          <t>2027-28</t>
        </is>
      </c>
      <c r="C5" s="27" t="inlineStr"/>
    </row>
    <row r="6">
      <c r="A6" s="38" t="inlineStr">
        <is>
          <t>FYCode</t>
        </is>
      </c>
      <c r="B6" s="36" t="inlineStr">
        <is>
          <t>2728</t>
        </is>
      </c>
      <c r="C6" s="27" t="inlineStr"/>
    </row>
    <row r="7">
      <c r="A7" s="38" t="inlineStr">
        <is>
          <t>AsOnDate</t>
        </is>
      </c>
      <c r="B7" s="28" t="n">
        <v>46492</v>
      </c>
      <c r="C7" s="27" t="inlineStr">
        <is>
          <t>Typed</t>
        </is>
      </c>
    </row>
    <row r="8">
      <c r="A8" s="38" t="inlineStr">
        <is>
          <t>LockDate</t>
        </is>
      </c>
      <c r="B8" s="28" t="n">
        <v>46477</v>
      </c>
      <c r="C8" s="27" t="inlineStr"/>
    </row>
    <row r="9">
      <c r="A9" s="38" t="inlineStr">
        <is>
          <t>DCPrefix</t>
        </is>
      </c>
      <c r="B9" s="36" t="inlineStr">
        <is>
          <t>DC/27-28/</t>
        </is>
      </c>
      <c r="C9" s="27" t="inlineStr"/>
    </row>
    <row r="10">
      <c r="A10" s="38" t="inlineStr">
        <is>
          <t>JWCPrefix</t>
        </is>
      </c>
      <c r="B10" s="36" t="inlineStr">
        <is>
          <t>JWC/27-28/</t>
        </is>
      </c>
      <c r="C10" s="27" t="inlineStr"/>
    </row>
    <row r="11">
      <c r="A11" s="38" t="inlineStr">
        <is>
          <t>CoaterAge days</t>
        </is>
      </c>
      <c r="B11" s="36" t="n">
        <v>15</v>
      </c>
      <c r="C11" s="27" t="inlineStr">
        <is>
          <t>Ageing warning</t>
        </is>
      </c>
    </row>
    <row r="12">
      <c r="A12" s="38" t="inlineStr">
        <is>
          <t>ProductionFile</t>
        </is>
      </c>
      <c r="B12" s="36" t="inlineStr">
        <is>
          <t>2 ISKO Production FY2027-28.xlsx</t>
        </is>
      </c>
      <c r="C12" s="27" t="inlineStr">
        <is>
          <t>Source of X_ProdOutput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zoomScale="9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5" t="inlineStr">
        <is>
          <t>LISTS - dropdown sources</t>
        </is>
      </c>
    </row>
    <row r="2">
      <c r="A2" s="16" t="inlineStr">
        <is>
          <t>Visible; built from masters - no spill formulas.</t>
        </is>
      </c>
    </row>
    <row r="4" ht="30" customHeight="1">
      <c r="A4" s="21" t="inlineStr">
        <is>
          <t>Coater Move Type</t>
        </is>
      </c>
      <c r="B4" s="21" t="inlineStr">
        <is>
          <t>Decision</t>
        </is>
      </c>
      <c r="C4" s="21" t="inlineStr">
        <is>
          <t>DC Type</t>
        </is>
      </c>
      <c r="D4" s="21" t="inlineStr">
        <is>
          <t>UOM</t>
        </is>
      </c>
    </row>
    <row r="5">
      <c r="A5" s="27" t="inlineStr">
        <is>
          <t>OPENING</t>
        </is>
      </c>
      <c r="B5" s="27" t="inlineStr">
        <is>
          <t>REWORK AT COATER</t>
        </is>
      </c>
      <c r="C5" s="27" t="inlineStr">
        <is>
          <t>SALE</t>
        </is>
      </c>
      <c r="D5" s="27" t="inlineStr">
        <is>
          <t>QTY</t>
        </is>
      </c>
    </row>
    <row r="6">
      <c r="A6" s="27" t="inlineStr">
        <is>
          <t>BACK-OK</t>
        </is>
      </c>
      <c r="B6" s="27" t="inlineStr">
        <is>
          <t>RE-SEND</t>
        </is>
      </c>
      <c r="C6" s="27" t="inlineStr">
        <is>
          <t>REPLACEMENT</t>
        </is>
      </c>
      <c r="D6" s="27" t="inlineStr">
        <is>
          <t>NOS</t>
        </is>
      </c>
    </row>
    <row r="7">
      <c r="A7" s="27" t="inlineStr">
        <is>
          <t>DEFECT-BACK</t>
        </is>
      </c>
      <c r="B7" s="27" t="inlineStr">
        <is>
          <t>SCRAP</t>
        </is>
      </c>
      <c r="C7" s="27" t="inlineStr">
        <is>
          <t>SAMPLE</t>
        </is>
      </c>
      <c r="D7" s="27" t="inlineStr">
        <is>
          <t>SET</t>
        </is>
      </c>
    </row>
    <row r="8">
      <c r="A8" s="27" t="inlineStr">
        <is>
          <t>DEFECT-AT-COATER-SCRAP</t>
        </is>
      </c>
      <c r="B8" s="27" t="inlineStr">
        <is>
          <t>DEBIT COATER</t>
        </is>
      </c>
      <c r="C8" s="27" t="n"/>
      <c r="D8" s="27" t="inlineStr">
        <is>
          <t>KG</t>
        </is>
      </c>
    </row>
    <row r="9">
      <c r="A9" s="27" t="n"/>
      <c r="B9" s="27" t="n"/>
      <c r="C9" s="27" t="n"/>
      <c r="D9" s="27" t="inlineStr">
        <is>
          <t>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2026-10-27T11:20:05Z</dcterms:created>
  <dcterms:modified xmlns:dcterms="http://purl.org/dc/terms/" xmlns:xsi="http://www.w3.org/2001/XMLSchema-instance" xsi:type="dcterms:W3CDTF">2026-10-27T11:20:05Z</dcterms:modified>
</cp:coreProperties>
</file>