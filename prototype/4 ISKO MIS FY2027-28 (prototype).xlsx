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ol Tower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Refresh Log" sheetId="4" state="visible" r:id="rId4"/>
    <sheet xmlns:r="http://schemas.openxmlformats.org/officeDocument/2006/relationships" name="Stock &amp; WIP" sheetId="5" state="visible" r:id="rId5"/>
    <sheet xmlns:r="http://schemas.openxmlformats.org/officeDocument/2006/relationships" name="Production &amp; Yield" sheetId="6" state="visible" r:id="rId6"/>
    <sheet xmlns:r="http://schemas.openxmlformats.org/officeDocument/2006/relationships" name="Dispatch &amp; JWC" sheetId="7" state="visible" r:id="rId7"/>
    <sheet xmlns:r="http://schemas.openxmlformats.org/officeDocument/2006/relationships" name="RM Requirement" sheetId="8" state="visible" r:id="rId8"/>
    <sheet xmlns:r="http://schemas.openxmlformats.org/officeDocument/2006/relationships" name="Lot Trace" sheetId="9" state="visible" r:id="rId9"/>
    <sheet xmlns:r="http://schemas.openxmlformats.org/officeDocument/2006/relationships" name="DC Trace" sheetId="10" state="visible" r:id="rId10"/>
    <sheet xmlns:r="http://schemas.openxmlformats.org/officeDocument/2006/relationships" name="MRM Monthly" sheetId="11" state="visible" r:id="rId11"/>
    <sheet xmlns:r="http://schemas.openxmlformats.org/officeDocument/2006/relationships" name="X_KPI_Month" sheetId="12" state="visible" r:id="rId12"/>
    <sheet xmlns:r="http://schemas.openxmlformats.org/officeDocument/2006/relationships" name="X_Balances" sheetId="13" state="visible" r:id="rId13"/>
    <sheet xmlns:r="http://schemas.openxmlformats.org/officeDocument/2006/relationships" name="Setting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-mmm-yy hh:mm"/>
    <numFmt numFmtId="166" formatCode="#,##0.000"/>
    <numFmt numFmtId="167" formatCode="yyyy-mm-dd"/>
    <numFmt numFmtId="168" formatCode="dd-mmm-yy"/>
    <numFmt numFmtId="169" formatCode="0.0%"/>
  </numFmts>
  <fonts count="9">
    <font>
      <name val="Calibri"/>
      <family val="2"/>
      <color theme="1"/>
      <sz val="11"/>
      <scheme val="minor"/>
    </font>
    <font>
      <b val="1"/>
      <color rgb="00243247"/>
      <sz val="14"/>
    </font>
    <font>
      <i val="1"/>
      <color rgb="00B5525A"/>
      <sz val="9"/>
    </font>
    <font>
      <b val="1"/>
      <color rgb="00243247"/>
      <sz val="10"/>
    </font>
    <font>
      <color rgb="00243247"/>
      <sz val="10"/>
    </font>
    <font>
      <b val="1"/>
      <color rgb="00243247"/>
      <sz val="9.5"/>
    </font>
    <font>
      <color rgb="00243247"/>
      <sz val="9.5"/>
    </font>
    <font>
      <b val="1"/>
      <color rgb="00243247"/>
      <sz val="13"/>
    </font>
    <font>
      <i val="1"/>
      <color rgb="005A6B82"/>
      <sz val="9"/>
    </font>
  </fonts>
  <fills count="11">
    <fill>
      <patternFill/>
    </fill>
    <fill>
      <patternFill patternType="gray125"/>
    </fill>
    <fill>
      <patternFill patternType="solid">
        <fgColor rgb="00EAE4F8"/>
      </patternFill>
    </fill>
    <fill>
      <patternFill patternType="solid">
        <fgColor rgb="00FFFFFF"/>
      </patternFill>
    </fill>
    <fill>
      <patternFill patternType="solid">
        <fgColor rgb="00FFF4D6"/>
      </patternFill>
    </fill>
    <fill>
      <patternFill patternType="solid">
        <fgColor rgb="00E2F0E8"/>
      </patternFill>
    </fill>
    <fill>
      <patternFill patternType="solid">
        <fgColor rgb="00F7F9FC"/>
      </patternFill>
    </fill>
    <fill>
      <patternFill patternType="solid">
        <fgColor rgb="00F8DCDD"/>
      </patternFill>
    </fill>
    <fill>
      <patternFill patternType="solid">
        <fgColor rgb="00FCECC9"/>
      </patternFill>
    </fill>
    <fill>
      <patternFill patternType="solid">
        <fgColor rgb="00D9F0EF"/>
      </patternFill>
    </fill>
    <fill>
      <patternFill patternType="solid">
        <fgColor rgb="00DCEAF7"/>
      </patternFill>
    </fill>
  </fills>
  <borders count="2">
    <border>
      <left/>
      <right/>
      <top/>
      <bottom/>
      <diagonal/>
    </border>
    <border>
      <left style="thin">
        <color rgb="00D9E0E8"/>
      </left>
      <right style="thin">
        <color rgb="00D9E0E8"/>
      </right>
      <top style="thin">
        <color rgb="00D9E0E8"/>
      </top>
      <bottom style="thin">
        <color rgb="00D9E0E8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2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10" borderId="1" applyAlignment="1" pivotButton="0" quotePrefix="0" xfId="0">
      <alignment vertical="center" wrapText="1"/>
    </xf>
    <xf numFmtId="0" fontId="6" fillId="2" borderId="1" pivotButton="0" quotePrefix="0" xfId="0"/>
    <xf numFmtId="4" fontId="6" fillId="9" borderId="1" pivotButton="0" quotePrefix="0" xfId="0"/>
    <xf numFmtId="0" fontId="6" fillId="6" borderId="1" pivotButton="0" quotePrefix="0" xfId="0"/>
    <xf numFmtId="169" fontId="6" fillId="9" borderId="1" pivotButton="0" quotePrefix="0" xfId="0"/>
    <xf numFmtId="0" fontId="6" fillId="3" borderId="1" pivotButton="0" quotePrefix="0" xfId="0"/>
    <xf numFmtId="168" fontId="6" fillId="6" borderId="1" pivotButton="0" quotePrefix="0" xfId="0"/>
    <xf numFmtId="0" fontId="6" fillId="4" borderId="1" pivotButton="0" quotePrefix="0" xfId="0"/>
    <xf numFmtId="165" fontId="6" fillId="6" borderId="1" pivotButton="0" quotePrefix="0" xfId="0"/>
    <xf numFmtId="166" fontId="6" fillId="6" borderId="1" pivotButton="0" quotePrefix="0" xfId="0"/>
    <xf numFmtId="166" fontId="6" fillId="9" borderId="1" pivotButton="0" quotePrefix="0" xfId="0"/>
    <xf numFmtId="166" fontId="6" fillId="5" borderId="1" pivotButton="0" quotePrefix="0" xfId="0"/>
    <xf numFmtId="4" fontId="6" fillId="5" borderId="1" pivotButton="0" quotePrefix="0" xfId="0"/>
    <xf numFmtId="10" fontId="6" fillId="9" borderId="1" pivotButton="0" quotePrefix="0" xfId="0"/>
    <xf numFmtId="0" fontId="6" fillId="6" borderId="1" applyAlignment="1" pivotButton="0" quotePrefix="0" xfId="0">
      <alignment vertical="center"/>
    </xf>
    <xf numFmtId="0" fontId="6" fillId="9" borderId="1" pivotButton="0" quotePrefix="0" xfId="0"/>
    <xf numFmtId="4" fontId="6" fillId="6" borderId="1" pivotButton="0" quotePrefix="0" xfId="0"/>
    <xf numFmtId="4" fontId="6" fillId="4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DCDD"/>
        </patternFill>
      </fill>
    </dxf>
    <dxf>
      <fill>
        <patternFill patternType="solid">
          <fgColor rgb="00FCECC9"/>
        </patternFill>
      </fill>
    </dxf>
    <dxf>
      <fill>
        <patternFill patternType="solid">
          <fgColor rgb="00E2F0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Dispatched kg by month (from X_KPI_Month)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'X_KPI_Month'!I4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'X_KPI_Month'!$A$5:$A$7</f>
            </numRef>
          </cat>
          <val>
            <numRef>
              <f>'X_KPI_Month'!$I$5:$I$7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468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Exceptions" displayName="tblExceptions" ref="A4:I8" headerRowCount="1">
  <autoFilter ref="A4:I8"/>
  <tableColumns count="9">
    <tableColumn id="1" name="Exception ID"/>
    <tableColumn id="2" name="Code"/>
    <tableColumn id="3" name="Exception"/>
    <tableColumn id="4" name="Severity"/>
    <tableColumn id="5" name="Owner"/>
    <tableColumn id="6" name="Source Row ID"/>
    <tableColumn id="7" name="First Seen"/>
    <tableColumn id="8" name="Days Open"/>
    <tableColumn id="9" name="Action Note"/>
  </tableColumns>
  <tableStyleInfo name="TableStyleLight1" showRowStripes="0"/>
</table>
</file>

<file path=xl/tables/table2.xml><?xml version="1.0" encoding="utf-8"?>
<table xmlns="http://schemas.openxmlformats.org/spreadsheetml/2006/main" id="2" name="tblRefreshLog" displayName="tblRefreshLog" ref="A4:J10" headerRowCount="1">
  <autoFilter ref="A4:J10"/>
  <tableColumns count="10">
    <tableColumn id="1" name="Run ID"/>
    <tableColumn id="2" name="Source Book"/>
    <tableColumn id="3" name="Extract"/>
    <tableColumn id="4" name="Refreshed At"/>
    <tableColumn id="5" name="Source Saved"/>
    <tableColumn id="6" name="Rows"/>
    <tableColumn id="7" name="Distinct IDs"/>
    <tableColumn id="8" name="Control kg"/>
    <tableColumn id="9" name="Source Control kg"/>
    <tableColumn id="10" name="Status"/>
  </tableColumns>
  <tableStyleInfo name="TableStyleLight1" showRowStripes="0"/>
</table>
</file>

<file path=xl/tables/table3.xml><?xml version="1.0" encoding="utf-8"?>
<table xmlns="http://schemas.openxmlformats.org/spreadsheetml/2006/main" id="3" name="tblXKpiMonth" displayName="tblXKpiMonth" ref="A4:L8" headerRowCount="1">
  <autoFilter ref="A4:L8"/>
  <tableColumns count="12">
    <tableColumn id="1" name="Month"/>
    <tableColumn id="2" name="RM Issued kg"/>
    <tableColumn id="3" name="Cut Output kg"/>
    <tableColumn id="4" name="Net Batch kg (closed)"/>
    <tableColumn id="5" name="Cut Output kg (closed)"/>
    <tableColumn id="6" name="Scrap kg"/>
    <tableColumn id="7" name="Scrap Rs"/>
    <tableColumn id="8" name="Rejected kg"/>
    <tableColumn id="9" name="Dispatched kg"/>
    <tableColumn id="10" name="Dispatch Rs"/>
    <tableColumn id="11" name="PC Cost Rs"/>
    <tableColumn id="12" name="Sent to Coater kg"/>
  </tableColumns>
  <tableStyleInfo name="TableStyleLight1" showRowStripes="0"/>
</table>
</file>

<file path=xl/tables/table4.xml><?xml version="1.0" encoding="utf-8"?>
<table xmlns="http://schemas.openxmlformats.org/spreadsheetml/2006/main" id="4" name="tblXBalances" displayName="tblXBalances" ref="A4:F10" headerRowCount="1">
  <autoFilter ref="A4:F10"/>
  <tableColumns count="6">
    <tableColumn id="1" name="Position"/>
    <tableColumn id="2" name="Owner Book"/>
    <tableColumn id="3" name="kg"/>
    <tableColumn id="4" name="Rs"/>
    <tableColumn id="5" name="Items"/>
    <tableColumn id="6" name="Oldest Day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4 ISKO MIS FY2027-28 - read-only reporting: KPIs, exceptions, trace</t>
        </is>
      </c>
    </row>
    <row r="2">
      <c r="A2" s="2" t="inlineStr">
        <is>
          <t>PROTOTYPE - sample / masked data - layout of the target design, not the live ERP</t>
        </is>
      </c>
    </row>
    <row r="4">
      <c r="A4" s="3" t="inlineStr">
        <is>
          <t>Routine</t>
        </is>
      </c>
      <c r="B4" s="4" t="inlineStr"/>
    </row>
    <row r="5">
      <c r="A5" s="5" t="inlineStr">
        <is>
          <t>Before review (daily)</t>
        </is>
      </c>
      <c r="B5" s="4" t="inlineStr">
        <is>
          <t>Data &gt; Refresh All. Read Refresh Log - every source must be OK. Then Control Tower and Exceptions.</t>
        </is>
      </c>
    </row>
    <row r="6">
      <c r="A6" s="5" t="inlineStr">
        <is>
          <t>Typing</t>
        </is>
      </c>
      <c r="B6" s="4" t="inlineStr">
        <is>
          <t>Only the period / filter boxes and the Lot / DC pick cells. No transaction is ever entered here.</t>
        </is>
      </c>
    </row>
    <row r="7">
      <c r="A7" s="5" t="inlineStr">
        <is>
          <t>If a source is STALE or MISSING</t>
        </is>
      </c>
      <c r="B7" s="4" t="inlineStr">
        <is>
          <t>The banner on the Control Tower turns coral; ask the book owner to save, then refresh again.</t>
        </is>
      </c>
    </row>
    <row r="8">
      <c r="A8" s="5" t="inlineStr">
        <is>
          <t>Detail extracts</t>
        </is>
      </c>
      <c r="B8" s="4" t="inlineStr">
        <is>
          <t>X_LotBal, X_RMMove, X_Prod, X_BatchBal, X_WIP, X_JWCLine, X_JWCBal, X_FGBal, X_DCLine load to the Power Query data model (not sheets); only the small summaries X_KPI_Month and X_Balances sit on sheets.</t>
        </is>
      </c>
    </row>
    <row r="11">
      <c r="A11" s="6" t="inlineStr">
        <is>
          <t>Cell colours</t>
        </is>
      </c>
      <c r="B11" s="7" t="inlineStr"/>
    </row>
    <row r="12">
      <c r="A12" s="8" t="inlineStr">
        <is>
          <t>Cream</t>
        </is>
      </c>
      <c r="B12" s="7" t="inlineStr">
        <is>
          <t>you type or pick here</t>
        </is>
      </c>
    </row>
    <row r="13">
      <c r="A13" s="9" t="inlineStr">
        <is>
          <t>Mint</t>
        </is>
      </c>
      <c r="B13" s="7" t="inlineStr">
        <is>
          <t>calculated / snapshot - posted as value</t>
        </is>
      </c>
    </row>
    <row r="14">
      <c r="A14" s="10" t="inlineStr">
        <is>
          <t>Light grey</t>
        </is>
      </c>
      <c r="B14" s="7" t="inlineStr">
        <is>
          <t>lookup shown for information</t>
        </is>
      </c>
    </row>
    <row r="15">
      <c r="A15" s="11" t="inlineStr">
        <is>
          <t>Coral</t>
        </is>
      </c>
      <c r="B15" s="7" t="inlineStr">
        <is>
          <t>hard stop - row cannot be posted</t>
        </is>
      </c>
    </row>
    <row r="16">
      <c r="A16" s="12" t="inlineStr">
        <is>
          <t>Amber</t>
        </is>
      </c>
      <c r="B16" s="7" t="inlineStr">
        <is>
          <t>warning - post only with an authorised reason</t>
        </is>
      </c>
    </row>
    <row r="17">
      <c r="A17" s="13" t="inlineStr">
        <is>
          <t>Teal</t>
        </is>
      </c>
      <c r="B17" s="7" t="inlineStr">
        <is>
          <t>totals</t>
        </is>
      </c>
    </row>
    <row r="18">
      <c r="A18" s="14" t="inlineStr">
        <is>
          <t>Blue</t>
        </is>
      </c>
      <c r="B18" s="7" t="inlineStr">
        <is>
          <t>column headers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zoomScale="9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13" customWidth="1" min="4" max="4"/>
    <col width="13" customWidth="1" min="5" max="5"/>
    <col width="16" customWidth="1" min="6" max="6"/>
  </cols>
  <sheetData>
    <row r="1">
      <c r="A1" s="15" t="inlineStr">
        <is>
          <t>CONTROL TOWER - director view</t>
        </is>
      </c>
    </row>
    <row r="2">
      <c r="A2" s="16" t="inlineStr">
        <is>
          <t>Period and filters at the top; every tile reads the small monthly summary or the balances - nothing scans a register.</t>
        </is>
      </c>
    </row>
    <row r="3">
      <c r="A3" s="17" t="inlineStr">
        <is>
          <t>Period</t>
        </is>
      </c>
      <c r="B3" s="18" t="inlineStr">
        <is>
          <t>Mar-27</t>
        </is>
      </c>
      <c r="C3" s="17" t="inlineStr">
        <is>
          <t>Customer</t>
        </is>
      </c>
      <c r="D3" s="18" t="inlineStr">
        <is>
          <t>All</t>
        </is>
      </c>
      <c r="E3" s="17" t="inlineStr">
        <is>
          <t>Material</t>
        </is>
      </c>
      <c r="F3" s="18" t="inlineStr">
        <is>
          <t>All</t>
        </is>
      </c>
    </row>
    <row r="4">
      <c r="A4" s="17" t="inlineStr">
        <is>
          <t>DATA STATUS</t>
        </is>
      </c>
      <c r="B4" s="19">
        <f>IF(COUNTIF('Refresh Log'!$J$5:$J$200,"OK")=COUNTA('Refresh Log'!$A$5:$A$200),"ALL SOURCES OK","ONE OR MORE SOURCES NOT OK - see Refresh Log")</f>
        <v/>
      </c>
    </row>
    <row r="6" ht="30" customHeight="1">
      <c r="A6" s="20" t="inlineStr">
        <is>
          <t>KPI</t>
        </is>
      </c>
      <c r="B6" s="20" t="inlineStr">
        <is>
          <t>Value</t>
        </is>
      </c>
      <c r="C6" s="20" t="inlineStr">
        <is>
          <t>Unit</t>
        </is>
      </c>
      <c r="D6" s="20" t="inlineStr">
        <is>
          <t>Previous Month</t>
        </is>
      </c>
      <c r="E6" s="20" t="inlineStr">
        <is>
          <t>Owner</t>
        </is>
      </c>
      <c r="F6" s="20" t="inlineStr">
        <is>
          <t>Source</t>
        </is>
      </c>
    </row>
    <row r="7">
      <c r="A7" s="21" t="inlineStr">
        <is>
          <t>Cutting output (month)</t>
        </is>
      </c>
      <c r="B7" s="22">
        <f>INDEX('X_KPI_Month'!$C$5:$C$20,MATCH("Mar-27",'X_KPI_Month'!$A$5:$A$20,0))/1000</f>
        <v/>
      </c>
      <c r="C7" s="23" t="inlineStr">
        <is>
          <t>MT</t>
        </is>
      </c>
      <c r="D7" s="23">
        <f>INDEX('X_KPI_Month'!$C$5:$C$20,MATCH("Feb-27",'X_KPI_Month'!$A$5:$A$20,0))/1000</f>
        <v/>
      </c>
      <c r="E7" s="23" t="inlineStr">
        <is>
          <t>Production</t>
        </is>
      </c>
      <c r="F7" s="23" t="inlineStr">
        <is>
          <t>X_KPI_Month</t>
        </is>
      </c>
    </row>
    <row r="8">
      <c r="A8" s="21" t="inlineStr">
        <is>
          <t>Cutting yield (closed batches)</t>
        </is>
      </c>
      <c r="B8" s="24">
        <f>INDEX('X_KPI_Month'!$E$5:$E$20,MATCH("Mar-27",'X_KPI_Month'!$A$5:$A$20,0))/INDEX('X_KPI_Month'!$D$5:$D$20,MATCH("Mar-27",'X_KPI_Month'!$A$5:$A$20,0))</f>
        <v/>
      </c>
      <c r="C8" s="23" t="inlineStr">
        <is>
          <t>%</t>
        </is>
      </c>
      <c r="D8" s="23">
        <f>INDEX('X_KPI_Month'!$E$5:$E$20,MATCH("Feb-27",'X_KPI_Month'!$A$5:$A$20,0))/INDEX('X_KPI_Month'!$D$5:$D$20,MATCH("Feb-27",'X_KPI_Month'!$A$5:$A$20,0))</f>
        <v/>
      </c>
      <c r="E8" s="23" t="inlineStr">
        <is>
          <t>Production</t>
        </is>
      </c>
      <c r="F8" s="23" t="inlineStr">
        <is>
          <t>X_BatchBal</t>
        </is>
      </c>
    </row>
    <row r="9">
      <c r="A9" s="21" t="inlineStr">
        <is>
          <t>Scrap loss</t>
        </is>
      </c>
      <c r="B9" s="22">
        <f>INDEX('X_KPI_Month'!$G$5:$G$20,MATCH("Mar-27",'X_KPI_Month'!$A$5:$A$20,0))/100000</f>
        <v/>
      </c>
      <c r="C9" s="23" t="inlineStr">
        <is>
          <t>Rs lakh</t>
        </is>
      </c>
      <c r="D9" s="23">
        <f>INDEX('X_KPI_Month'!$G$5:$G$20,MATCH("Feb-27",'X_KPI_Month'!$A$5:$A$20,0))/100000</f>
        <v/>
      </c>
      <c r="E9" s="23" t="inlineStr">
        <is>
          <t>Production</t>
        </is>
      </c>
      <c r="F9" s="23" t="inlineStr">
        <is>
          <t>Q_MaterialFlow</t>
        </is>
      </c>
    </row>
    <row r="10">
      <c r="A10" s="21" t="inlineStr">
        <is>
          <t>Dispatched</t>
        </is>
      </c>
      <c r="B10" s="22">
        <f>INDEX('X_KPI_Month'!$I$5:$I$20,MATCH("Mar-27",'X_KPI_Month'!$A$5:$A$20,0))/1000</f>
        <v/>
      </c>
      <c r="C10" s="23" t="inlineStr">
        <is>
          <t>MT</t>
        </is>
      </c>
      <c r="D10" s="23">
        <f>INDEX('X_KPI_Month'!$I$5:$I$20,MATCH("Feb-27",'X_KPI_Month'!$A$5:$A$20,0))/1000</f>
        <v/>
      </c>
      <c r="E10" s="23" t="inlineStr">
        <is>
          <t>MD</t>
        </is>
      </c>
      <c r="F10" s="23" t="inlineStr">
        <is>
          <t>X_DCLine</t>
        </is>
      </c>
    </row>
    <row r="11">
      <c r="A11" s="21" t="inlineStr">
        <is>
          <t>Realisation</t>
        </is>
      </c>
      <c r="B11" s="22">
        <f>INDEX('X_KPI_Month'!$J$5:$J$20,MATCH("Mar-27",'X_KPI_Month'!$A$5:$A$20,0))/INDEX('X_KPI_Month'!$I$5:$I$20,MATCH("Mar-27",'X_KPI_Month'!$A$5:$A$20,0))</f>
        <v/>
      </c>
      <c r="C11" s="23" t="inlineStr">
        <is>
          <t>Rs/kg</t>
        </is>
      </c>
      <c r="D11" s="23">
        <f>INDEX('X_KPI_Month'!$J$5:$J$20,MATCH("Feb-27",'X_KPI_Month'!$A$5:$A$20,0))/INDEX('X_KPI_Month'!$I$5:$I$20,MATCH("Feb-27",'X_KPI_Month'!$A$5:$A$20,0))</f>
        <v/>
      </c>
      <c r="E11" s="23" t="inlineStr">
        <is>
          <t>MD</t>
        </is>
      </c>
      <c r="F11" s="23" t="inlineStr">
        <is>
          <t>X_DCLine</t>
        </is>
      </c>
    </row>
    <row r="12">
      <c r="A12" s="21" t="inlineStr">
        <is>
          <t>Powder-coating cost</t>
        </is>
      </c>
      <c r="B12" s="22">
        <f>INDEX('X_KPI_Month'!$K$5:$K$20,MATCH("Mar-27",'X_KPI_Month'!$A$5:$A$20,0))/INDEX('X_KPI_Month'!$L$5:$L$20,MATCH("Mar-27",'X_KPI_Month'!$A$5:$A$20,0))</f>
        <v/>
      </c>
      <c r="C12" s="23" t="inlineStr">
        <is>
          <t>Rs/kg</t>
        </is>
      </c>
      <c r="D12" s="23" t="inlineStr"/>
      <c r="E12" s="23" t="inlineStr">
        <is>
          <t>Dispatch / Finance</t>
        </is>
      </c>
      <c r="F12" s="23" t="inlineStr">
        <is>
          <t>X_JWCLine</t>
        </is>
      </c>
    </row>
    <row r="13">
      <c r="A13" s="21" t="inlineStr">
        <is>
          <t>RM stock (open lots)</t>
        </is>
      </c>
      <c r="B13" s="22">
        <f>INDEX('X_Balances'!$C$5:$C$20,1)/1000</f>
        <v/>
      </c>
      <c r="C13" s="23" t="inlineStr">
        <is>
          <t>MT</t>
        </is>
      </c>
      <c r="D13" s="23" t="inlineStr"/>
      <c r="E13" s="23" t="inlineStr">
        <is>
          <t>Stores</t>
        </is>
      </c>
      <c r="F13" s="23" t="inlineStr">
        <is>
          <t>X_LotBal</t>
        </is>
      </c>
    </row>
    <row r="14">
      <c r="A14" s="21" t="inlineStr">
        <is>
          <t>WIP (calculated)</t>
        </is>
      </c>
      <c r="B14" s="22">
        <f>INDEX('X_Balances'!$C$5:$C$20,3)/1000</f>
        <v/>
      </c>
      <c r="C14" s="23" t="inlineStr">
        <is>
          <t>MT</t>
        </is>
      </c>
      <c r="D14" s="23" t="inlineStr"/>
      <c r="E14" s="23" t="inlineStr">
        <is>
          <t>Production</t>
        </is>
      </c>
      <c r="F14" s="23" t="inlineStr">
        <is>
          <t>X_WIP</t>
        </is>
      </c>
    </row>
    <row r="15">
      <c r="A15" s="21" t="inlineStr">
        <is>
          <t>At coaters</t>
        </is>
      </c>
      <c r="B15" s="22">
        <f>INDEX('X_Balances'!$C$5:$C$20,4)/1000</f>
        <v/>
      </c>
      <c r="C15" s="23" t="inlineStr">
        <is>
          <t>MT</t>
        </is>
      </c>
      <c r="D15" s="23" t="inlineStr"/>
      <c r="E15" s="23" t="inlineStr">
        <is>
          <t>Dispatch</t>
        </is>
      </c>
      <c r="F15" s="23" t="inlineStr">
        <is>
          <t>X_JWCBal</t>
        </is>
      </c>
    </row>
    <row r="16">
      <c r="A16" s="21" t="inlineStr">
        <is>
          <t>FG available (calculated)</t>
        </is>
      </c>
      <c r="B16" s="22">
        <f>INDEX('X_Balances'!$C$5:$C$20,5)/1000</f>
        <v/>
      </c>
      <c r="C16" s="23" t="inlineStr">
        <is>
          <t>MT</t>
        </is>
      </c>
      <c r="D16" s="23" t="inlineStr"/>
      <c r="E16" s="23" t="inlineStr">
        <is>
          <t>Dispatch</t>
        </is>
      </c>
      <c r="F16" s="23" t="inlineStr">
        <is>
          <t>X_FGBal</t>
        </is>
      </c>
    </row>
    <row r="17">
      <c r="A17" s="21" t="inlineStr">
        <is>
          <t>Open BLOCKER exceptions</t>
        </is>
      </c>
      <c r="B17" s="22">
        <f>COUNTIF('Exceptions'!$D$5:$D$200,"BLOCKER")</f>
        <v/>
      </c>
      <c r="C17" s="23" t="inlineStr">
        <is>
          <t>count</t>
        </is>
      </c>
      <c r="D17" s="23" t="inlineStr"/>
      <c r="E17" s="23" t="inlineStr">
        <is>
          <t>All</t>
        </is>
      </c>
      <c r="F17" s="23" t="inlineStr">
        <is>
          <t>Exceptions</t>
        </is>
      </c>
    </row>
    <row r="18">
      <c r="A18" s="21" t="inlineStr">
        <is>
          <t>Data freshness</t>
        </is>
      </c>
      <c r="B18" s="22">
        <f>IF(COUNTIF('Refresh Log'!$J$5:$J$200,"OK")=COUNTA('Refresh Log'!$A$5:$A$200),"ALL SOURCES OK","CHECK REFRESH LOG")</f>
        <v/>
      </c>
      <c r="C18" s="23" t="inlineStr"/>
      <c r="D18" s="23" t="inlineStr"/>
      <c r="E18" s="23" t="inlineStr">
        <is>
          <t>MIS owner</t>
        </is>
      </c>
      <c r="F18" s="23" t="inlineStr">
        <is>
          <t>Refresh Log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zoomScale="90"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36" customWidth="1" min="3" max="3"/>
    <col width="9" customWidth="1" min="4" max="4"/>
    <col width="11" customWidth="1" min="5" max="5"/>
    <col width="17" customWidth="1" min="6" max="6"/>
    <col width="9" customWidth="1" min="7" max="7"/>
    <col width="6" customWidth="1" min="8" max="8"/>
    <col width="26" customWidth="1" min="9" max="9"/>
  </cols>
  <sheetData>
    <row r="1">
      <c r="A1" s="15" t="inlineStr">
        <is>
          <t>EXCEPTIONS - one row per open problem, with owner and age</t>
        </is>
      </c>
    </row>
    <row r="2">
      <c r="A2" s="16" t="inlineStr">
        <is>
          <t>Built on each refresh. BLOCKER rows mean a control was bypassed - same-day review.</t>
        </is>
      </c>
    </row>
    <row r="4" ht="30" customHeight="1">
      <c r="A4" s="20" t="inlineStr">
        <is>
          <t>Exception ID</t>
        </is>
      </c>
      <c r="B4" s="20" t="inlineStr">
        <is>
          <t>Code</t>
        </is>
      </c>
      <c r="C4" s="20" t="inlineStr">
        <is>
          <t>Exception</t>
        </is>
      </c>
      <c r="D4" s="20" t="inlineStr">
        <is>
          <t>Severity</t>
        </is>
      </c>
      <c r="E4" s="20" t="inlineStr">
        <is>
          <t>Owner</t>
        </is>
      </c>
      <c r="F4" s="20" t="inlineStr">
        <is>
          <t>Source Row ID</t>
        </is>
      </c>
      <c r="G4" s="20" t="inlineStr">
        <is>
          <t>First Seen</t>
        </is>
      </c>
      <c r="H4" s="20" t="inlineStr">
        <is>
          <t>Days Open</t>
        </is>
      </c>
      <c r="I4" s="20" t="inlineStr">
        <is>
          <t>Action Note</t>
        </is>
      </c>
    </row>
    <row r="5">
      <c r="A5" s="23" t="inlineStr">
        <is>
          <t>STK-03|CR-2728-0001</t>
        </is>
      </c>
      <c r="B5" s="23" t="inlineStr">
        <is>
          <t>STK-03</t>
        </is>
      </c>
      <c r="C5" s="23" t="inlineStr">
        <is>
          <t>Lot in QC HOLD more than 3 days</t>
        </is>
      </c>
      <c r="D5" s="25" t="inlineStr">
        <is>
          <t>HIGH</t>
        </is>
      </c>
      <c r="E5" s="23" t="inlineStr">
        <is>
          <t>QC</t>
        </is>
      </c>
      <c r="F5" s="23" t="inlineStr">
        <is>
          <t>CR-2728-0001</t>
        </is>
      </c>
      <c r="G5" s="26" t="n">
        <v>46489</v>
      </c>
      <c r="H5" s="23" t="n">
        <v>3</v>
      </c>
      <c r="I5" s="27" t="inlineStr">
        <is>
          <t>Supplier visit 16-Apr</t>
        </is>
      </c>
    </row>
    <row r="6">
      <c r="A6" s="23" t="inlineStr">
        <is>
          <t>PUR-01|PO/27-28/001-01</t>
        </is>
      </c>
      <c r="B6" s="23" t="inlineStr">
        <is>
          <t>PUR-01</t>
        </is>
      </c>
      <c r="C6" s="23" t="inlineStr">
        <is>
          <t>PO line past due with pending qty</t>
        </is>
      </c>
      <c r="D6" s="25" t="inlineStr">
        <is>
          <t>MEDIUM</t>
        </is>
      </c>
      <c r="E6" s="23" t="inlineStr">
        <is>
          <t>Purchase</t>
        </is>
      </c>
      <c r="F6" s="23" t="inlineStr">
        <is>
          <t>PO/27-28/001-01</t>
        </is>
      </c>
      <c r="G6" s="26" t="n">
        <v>46490</v>
      </c>
      <c r="H6" s="23" t="n">
        <v>2</v>
      </c>
      <c r="I6" s="27" t="inlineStr"/>
    </row>
    <row r="7">
      <c r="A7" s="23" t="inlineStr">
        <is>
          <t>PRD-03|ISS-2728-000004</t>
        </is>
      </c>
      <c r="B7" s="23" t="inlineStr">
        <is>
          <t>PRD-03</t>
        </is>
      </c>
      <c r="C7" s="23" t="inlineStr">
        <is>
          <t>Batch variance above tolerance (in progress)</t>
        </is>
      </c>
      <c r="D7" s="25" t="inlineStr">
        <is>
          <t>MEDIUM</t>
        </is>
      </c>
      <c r="E7" s="23" t="inlineStr">
        <is>
          <t>Production</t>
        </is>
      </c>
      <c r="F7" s="23" t="inlineStr">
        <is>
          <t>ISS-2728-000004</t>
        </is>
      </c>
      <c r="G7" s="26" t="n">
        <v>46491</v>
      </c>
      <c r="H7" s="23" t="n">
        <v>1</v>
      </c>
      <c r="I7" s="27" t="inlineStr"/>
    </row>
    <row r="8">
      <c r="A8" s="23" t="inlineStr">
        <is>
          <t>SYS-01|X_DCLine</t>
        </is>
      </c>
      <c r="B8" s="23" t="inlineStr">
        <is>
          <t>SYS-01</t>
        </is>
      </c>
      <c r="C8" s="23" t="inlineStr">
        <is>
          <t>Source book stale (Dispatch saved 13-Apr)</t>
        </is>
      </c>
      <c r="D8" s="25" t="inlineStr">
        <is>
          <t>BLOCKER</t>
        </is>
      </c>
      <c r="E8" s="23" t="inlineStr">
        <is>
          <t>MIS owner</t>
        </is>
      </c>
      <c r="F8" s="23" t="inlineStr">
        <is>
          <t>X_DCLine</t>
        </is>
      </c>
      <c r="G8" s="26" t="n">
        <v>46492</v>
      </c>
      <c r="H8" s="23" t="n">
        <v>0</v>
      </c>
      <c r="I8" s="27" t="inlineStr">
        <is>
          <t>Asked Dispatch to save</t>
        </is>
      </c>
    </row>
  </sheetData>
  <conditionalFormatting sqref="D5:D20">
    <cfRule type="expression" priority="1" dxfId="0" stopIfTrue="1">
      <formula>D5="BLOCKER"</formula>
    </cfRule>
    <cfRule type="expression" priority="2" dxfId="1" stopIfTrue="1">
      <formula>D5="HIGH"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zoomScale="9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3" customWidth="1" min="4" max="4"/>
    <col width="13" customWidth="1" min="5" max="5"/>
    <col width="6" customWidth="1" min="6" max="6"/>
    <col width="8" customWidth="1" min="7" max="7"/>
    <col width="10" customWidth="1" min="8" max="8"/>
    <col width="10" customWidth="1" min="9" max="9"/>
    <col width="24" customWidth="1" min="10" max="10"/>
  </cols>
  <sheetData>
    <row r="1">
      <c r="A1" s="15" t="inlineStr">
        <is>
          <t>REFRESH LOG - is every number fresh and complete?</t>
        </is>
      </c>
    </row>
    <row r="2">
      <c r="A2" s="16" t="inlineStr">
        <is>
          <t>Written by Power Query on Refresh All. Rows must equal distinct IDs; control totals must equal the source book's Control Totals.</t>
        </is>
      </c>
    </row>
    <row r="4" ht="30" customHeight="1">
      <c r="A4" s="20" t="inlineStr">
        <is>
          <t>Run ID</t>
        </is>
      </c>
      <c r="B4" s="20" t="inlineStr">
        <is>
          <t>Source Book</t>
        </is>
      </c>
      <c r="C4" s="20" t="inlineStr">
        <is>
          <t>Extract</t>
        </is>
      </c>
      <c r="D4" s="20" t="inlineStr">
        <is>
          <t>Refreshed At</t>
        </is>
      </c>
      <c r="E4" s="20" t="inlineStr">
        <is>
          <t>Source Saved</t>
        </is>
      </c>
      <c r="F4" s="20" t="inlineStr">
        <is>
          <t>Rows</t>
        </is>
      </c>
      <c r="G4" s="20" t="inlineStr">
        <is>
          <t>Distinct IDs</t>
        </is>
      </c>
      <c r="H4" s="20" t="inlineStr">
        <is>
          <t>Control kg</t>
        </is>
      </c>
      <c r="I4" s="20" t="inlineStr">
        <is>
          <t>Source Control kg</t>
        </is>
      </c>
      <c r="J4" s="20" t="inlineStr">
        <is>
          <t>Status</t>
        </is>
      </c>
    </row>
    <row r="5">
      <c r="A5" s="23" t="inlineStr">
        <is>
          <t>RUN-270415-0915</t>
        </is>
      </c>
      <c r="B5" s="23" t="inlineStr">
        <is>
          <t>Stores</t>
        </is>
      </c>
      <c r="C5" s="23" t="inlineStr">
        <is>
          <t>X_LotBal</t>
        </is>
      </c>
      <c r="D5" s="28" t="n">
        <v>46492.38541666666</v>
      </c>
      <c r="E5" s="28" t="n">
        <v>46491.75347222222</v>
      </c>
      <c r="F5" s="23" t="n">
        <v>5</v>
      </c>
      <c r="G5" s="23" t="n">
        <v>5</v>
      </c>
      <c r="H5" s="29" t="n">
        <v>3941.4</v>
      </c>
      <c r="I5" s="29" t="n">
        <v>3941.4</v>
      </c>
      <c r="J5" s="25">
        <f>IF(F5&lt;&gt;G5,"DUPLICATES",IF(ROUND(H5-I5,3)&lt;&gt;0,"MISMATCH",IF(D5-E5&gt;'Settings'!$B$10/24,"STALE - source older than "&amp;'Settings'!$B$10&amp;" h","OK")))</f>
        <v/>
      </c>
    </row>
    <row r="6">
      <c r="A6" s="23" t="inlineStr">
        <is>
          <t>RUN-270415-0915</t>
        </is>
      </c>
      <c r="B6" s="23" t="inlineStr">
        <is>
          <t>Stores</t>
        </is>
      </c>
      <c r="C6" s="23" t="inlineStr">
        <is>
          <t>X_RMMove</t>
        </is>
      </c>
      <c r="D6" s="28" t="n">
        <v>46492.38541666666</v>
      </c>
      <c r="E6" s="28" t="n">
        <v>46491.75347222222</v>
      </c>
      <c r="F6" s="23" t="n">
        <v>4</v>
      </c>
      <c r="G6" s="23" t="n">
        <v>4</v>
      </c>
      <c r="H6" s="29" t="n">
        <v>-1087.5</v>
      </c>
      <c r="I6" s="29" t="n">
        <v>-1087.5</v>
      </c>
      <c r="J6" s="25">
        <f>IF(F6&lt;&gt;G6,"DUPLICATES",IF(ROUND(H6-I6,3)&lt;&gt;0,"MISMATCH",IF(D6-E6&gt;'Settings'!$B$10/24,"STALE - source older than "&amp;'Settings'!$B$10&amp;" h","OK")))</f>
        <v/>
      </c>
    </row>
    <row r="7">
      <c r="A7" s="23" t="inlineStr">
        <is>
          <t>RUN-270415-0915</t>
        </is>
      </c>
      <c r="B7" s="23" t="inlineStr">
        <is>
          <t>Production</t>
        </is>
      </c>
      <c r="C7" s="23" t="inlineStr">
        <is>
          <t>X_Prod</t>
        </is>
      </c>
      <c r="D7" s="28" t="n">
        <v>46492.38541666666</v>
      </c>
      <c r="E7" s="28" t="n">
        <v>46491.76388888889</v>
      </c>
      <c r="F7" s="23" t="n">
        <v>6</v>
      </c>
      <c r="G7" s="23" t="n">
        <v>6</v>
      </c>
      <c r="H7" s="29" t="n">
        <v>1909.55</v>
      </c>
      <c r="I7" s="29" t="n">
        <v>1909.55</v>
      </c>
      <c r="J7" s="25">
        <f>IF(F7&lt;&gt;G7,"DUPLICATES",IF(ROUND(H7-I7,3)&lt;&gt;0,"MISMATCH",IF(D7-E7&gt;'Settings'!$B$10/24,"STALE - source older than "&amp;'Settings'!$B$10&amp;" h","OK")))</f>
        <v/>
      </c>
    </row>
    <row r="8">
      <c r="A8" s="23" t="inlineStr">
        <is>
          <t>RUN-270415-0915</t>
        </is>
      </c>
      <c r="B8" s="23" t="inlineStr">
        <is>
          <t>Production</t>
        </is>
      </c>
      <c r="C8" s="23" t="inlineStr">
        <is>
          <t>X_BatchBal</t>
        </is>
      </c>
      <c r="D8" s="28" t="n">
        <v>46492.38541666666</v>
      </c>
      <c r="E8" s="28" t="n">
        <v>46491.76388888889</v>
      </c>
      <c r="F8" s="23" t="n">
        <v>3</v>
      </c>
      <c r="G8" s="23" t="n">
        <v>3</v>
      </c>
      <c r="H8" s="29" t="n">
        <v>109.2</v>
      </c>
      <c r="I8" s="29" t="n">
        <v>109.2</v>
      </c>
      <c r="J8" s="25">
        <f>IF(F8&lt;&gt;G8,"DUPLICATES",IF(ROUND(H8-I8,3)&lt;&gt;0,"MISMATCH",IF(D8-E8&gt;'Settings'!$B$10/24,"STALE - source older than "&amp;'Settings'!$B$10&amp;" h","OK")))</f>
        <v/>
      </c>
    </row>
    <row r="9">
      <c r="A9" s="23" t="inlineStr">
        <is>
          <t>RUN-270415-0915</t>
        </is>
      </c>
      <c r="B9" s="23" t="inlineStr">
        <is>
          <t>Dispatch</t>
        </is>
      </c>
      <c r="C9" s="23" t="inlineStr">
        <is>
          <t>X_DCLine</t>
        </is>
      </c>
      <c r="D9" s="28" t="n">
        <v>46492.38541666666</v>
      </c>
      <c r="E9" s="28" t="n">
        <v>46490.70833333334</v>
      </c>
      <c r="F9" s="23" t="n">
        <v>2</v>
      </c>
      <c r="G9" s="23" t="n">
        <v>2</v>
      </c>
      <c r="H9" s="29" t="n">
        <v>224.375</v>
      </c>
      <c r="I9" s="29" t="n">
        <v>224.375</v>
      </c>
      <c r="J9" s="25">
        <f>IF(F9&lt;&gt;G9,"DUPLICATES",IF(ROUND(H9-I9,3)&lt;&gt;0,"MISMATCH",IF(D9-E9&gt;'Settings'!$B$10/24,"STALE - source older than "&amp;'Settings'!$B$10&amp;" h","OK")))</f>
        <v/>
      </c>
    </row>
    <row r="10">
      <c r="A10" s="23" t="inlineStr">
        <is>
          <t>RUN-270415-0915</t>
        </is>
      </c>
      <c r="B10" s="23" t="inlineStr">
        <is>
          <t>Dispatch</t>
        </is>
      </c>
      <c r="C10" s="23" t="inlineStr">
        <is>
          <t>X_JWCLine</t>
        </is>
      </c>
      <c r="D10" s="28" t="n">
        <v>46492.38541666666</v>
      </c>
      <c r="E10" s="28" t="n">
        <v>46490.70833333334</v>
      </c>
      <c r="F10" s="23" t="n">
        <v>2</v>
      </c>
      <c r="G10" s="23" t="n">
        <v>2</v>
      </c>
      <c r="H10" s="29" t="n">
        <v>363.6</v>
      </c>
      <c r="I10" s="29" t="n">
        <v>363.6</v>
      </c>
      <c r="J10" s="25">
        <f>IF(F10&lt;&gt;G10,"DUPLICATES",IF(ROUND(H10-I10,3)&lt;&gt;0,"MISMATCH",IF(D10-E10&gt;'Settings'!$B$10/24,"STALE - source older than "&amp;'Settings'!$B$10&amp;" h","OK")))</f>
        <v/>
      </c>
    </row>
  </sheetData>
  <conditionalFormatting sqref="J5:J10">
    <cfRule type="expression" priority="1" dxfId="2" stopIfTrue="1">
      <formula>OR(LEFT(J5,5)="READY",J5="OK",LEFT(J5,6)="CLOSED")</formula>
    </cfRule>
    <cfRule type="expression" priority="2" dxfId="1" stopIfTrue="1">
      <formula>OR(LEFT(J5,4)="WARN",LEFT(J5,2)="IN",LEFT(J5,3)="NOT",LEFT(J5,7)="REORDER",LEFT(J5,5)="STALE",LEFT(J5,4)="PART",LEFT(J5,7)="PENDING",LEFT(J5,5)="READY")</formula>
    </cfRule>
    <cfRule type="expression" priority="3" dxfId="0">
      <formula>LEN(J5)&gt;0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zoomScale="9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9" customWidth="1" min="4" max="4"/>
    <col width="9" customWidth="1" min="5" max="5"/>
    <col width="11" customWidth="1" min="6" max="6"/>
  </cols>
  <sheetData>
    <row r="1">
      <c r="A1" s="15" t="inlineStr">
        <is>
          <t>STOCK &amp; WIP SUMMARY - all transaction-calculated</t>
        </is>
      </c>
    </row>
    <row r="2">
      <c r="A2" s="16" t="inlineStr">
        <is>
          <t>No physical-count block. Every position comes from its owning book.</t>
        </is>
      </c>
    </row>
    <row r="4" ht="30" customHeight="1">
      <c r="A4" s="20" t="inlineStr">
        <is>
          <t>Position</t>
        </is>
      </c>
      <c r="B4" s="20" t="inlineStr">
        <is>
          <t>kg</t>
        </is>
      </c>
      <c r="C4" s="20" t="inlineStr">
        <is>
          <t>Rs</t>
        </is>
      </c>
      <c r="D4" s="20" t="inlineStr">
        <is>
          <t>Items / lines</t>
        </is>
      </c>
      <c r="E4" s="20" t="inlineStr">
        <is>
          <t>Oldest (days)</t>
        </is>
      </c>
      <c r="F4" s="20" t="inlineStr">
        <is>
          <t>Owner</t>
        </is>
      </c>
    </row>
    <row r="5">
      <c r="A5" s="23">
        <f>'X_Balances'!A5</f>
        <v/>
      </c>
      <c r="B5" s="30">
        <f>'X_Balances'!C5</f>
        <v/>
      </c>
      <c r="C5" s="22">
        <f>'X_Balances'!D5</f>
        <v/>
      </c>
      <c r="D5" s="23">
        <f>'X_Balances'!E5</f>
        <v/>
      </c>
      <c r="E5" s="23">
        <f>'X_Balances'!F5</f>
        <v/>
      </c>
      <c r="F5" s="23">
        <f>'X_Balances'!B5</f>
        <v/>
      </c>
    </row>
    <row r="6">
      <c r="A6" s="23">
        <f>'X_Balances'!A6</f>
        <v/>
      </c>
      <c r="B6" s="30">
        <f>'X_Balances'!C6</f>
        <v/>
      </c>
      <c r="C6" s="22">
        <f>'X_Balances'!D6</f>
        <v/>
      </c>
      <c r="D6" s="23">
        <f>'X_Balances'!E6</f>
        <v/>
      </c>
      <c r="E6" s="23">
        <f>'X_Balances'!F6</f>
        <v/>
      </c>
      <c r="F6" s="23">
        <f>'X_Balances'!B6</f>
        <v/>
      </c>
    </row>
    <row r="7">
      <c r="A7" s="23">
        <f>'X_Balances'!A7</f>
        <v/>
      </c>
      <c r="B7" s="30">
        <f>'X_Balances'!C7</f>
        <v/>
      </c>
      <c r="C7" s="22">
        <f>'X_Balances'!D7</f>
        <v/>
      </c>
      <c r="D7" s="23">
        <f>'X_Balances'!E7</f>
        <v/>
      </c>
      <c r="E7" s="23">
        <f>'X_Balances'!F7</f>
        <v/>
      </c>
      <c r="F7" s="23">
        <f>'X_Balances'!B7</f>
        <v/>
      </c>
    </row>
    <row r="8">
      <c r="A8" s="23">
        <f>'X_Balances'!A8</f>
        <v/>
      </c>
      <c r="B8" s="30">
        <f>'X_Balances'!C8</f>
        <v/>
      </c>
      <c r="C8" s="22">
        <f>'X_Balances'!D8</f>
        <v/>
      </c>
      <c r="D8" s="23">
        <f>'X_Balances'!E8</f>
        <v/>
      </c>
      <c r="E8" s="23">
        <f>'X_Balances'!F8</f>
        <v/>
      </c>
      <c r="F8" s="23">
        <f>'X_Balances'!B8</f>
        <v/>
      </c>
    </row>
    <row r="9">
      <c r="A9" s="23">
        <f>'X_Balances'!A9</f>
        <v/>
      </c>
      <c r="B9" s="30">
        <f>'X_Balances'!C9</f>
        <v/>
      </c>
      <c r="C9" s="22">
        <f>'X_Balances'!D9</f>
        <v/>
      </c>
      <c r="D9" s="23">
        <f>'X_Balances'!E9</f>
        <v/>
      </c>
      <c r="E9" s="23">
        <f>'X_Balances'!F9</f>
        <v/>
      </c>
      <c r="F9" s="23">
        <f>'X_Balances'!B9</f>
        <v/>
      </c>
    </row>
    <row r="10">
      <c r="A10" s="23">
        <f>'X_Balances'!A10</f>
        <v/>
      </c>
      <c r="B10" s="30">
        <f>'X_Balances'!C10</f>
        <v/>
      </c>
      <c r="C10" s="22">
        <f>'X_Balances'!D10</f>
        <v/>
      </c>
      <c r="D10" s="23">
        <f>'X_Balances'!E10</f>
        <v/>
      </c>
      <c r="E10" s="23">
        <f>'X_Balances'!F10</f>
        <v/>
      </c>
      <c r="F10" s="23">
        <f>'X_Balances'!B10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zoomScale="9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</cols>
  <sheetData>
    <row r="1">
      <c r="A1" s="15" t="inlineStr">
        <is>
          <t>PRODUCTION &amp; YIELD - by month</t>
        </is>
      </c>
    </row>
    <row r="2">
      <c r="A2" s="16" t="inlineStr">
        <is>
          <t>From X_KPI_Month (PivotTable with slicers in the real build).</t>
        </is>
      </c>
    </row>
    <row r="4" ht="30" customHeight="1">
      <c r="A4" s="20" t="inlineStr">
        <is>
          <t>Month</t>
        </is>
      </c>
      <c r="B4" s="20" t="inlineStr">
        <is>
          <t>RM Issued kg</t>
        </is>
      </c>
      <c r="C4" s="20" t="inlineStr">
        <is>
          <t>Cut Output kg</t>
        </is>
      </c>
      <c r="D4" s="20" t="inlineStr">
        <is>
          <t>Yield (closed)</t>
        </is>
      </c>
      <c r="E4" s="20" t="inlineStr">
        <is>
          <t>Scrap kg</t>
        </is>
      </c>
      <c r="F4" s="20" t="inlineStr">
        <is>
          <t>Scrap Rs</t>
        </is>
      </c>
      <c r="G4" s="20" t="inlineStr">
        <is>
          <t>Rejected kg</t>
        </is>
      </c>
      <c r="H4" s="20" t="inlineStr">
        <is>
          <t>Rejection %</t>
        </is>
      </c>
    </row>
    <row r="5">
      <c r="A5" s="23">
        <f>'X_KPI_Month'!A5</f>
        <v/>
      </c>
      <c r="B5" s="31">
        <f>'X_KPI_Month'!B5</f>
        <v/>
      </c>
      <c r="C5" s="31">
        <f>'X_KPI_Month'!C5</f>
        <v/>
      </c>
      <c r="D5" s="24">
        <f>IFERROR('X_KPI_Month'!E5/'X_KPI_Month'!D5,"-")</f>
        <v/>
      </c>
      <c r="E5" s="31">
        <f>'X_KPI_Month'!F5</f>
        <v/>
      </c>
      <c r="F5" s="32">
        <f>'X_KPI_Month'!G5</f>
        <v/>
      </c>
      <c r="G5" s="31">
        <f>'X_KPI_Month'!H5</f>
        <v/>
      </c>
      <c r="H5" s="33">
        <f>IFERROR(G5/C5,0)</f>
        <v/>
      </c>
    </row>
    <row r="6">
      <c r="A6" s="23">
        <f>'X_KPI_Month'!A6</f>
        <v/>
      </c>
      <c r="B6" s="31">
        <f>'X_KPI_Month'!B6</f>
        <v/>
      </c>
      <c r="C6" s="31">
        <f>'X_KPI_Month'!C6</f>
        <v/>
      </c>
      <c r="D6" s="24">
        <f>IFERROR('X_KPI_Month'!E6/'X_KPI_Month'!D6,"-")</f>
        <v/>
      </c>
      <c r="E6" s="31">
        <f>'X_KPI_Month'!F6</f>
        <v/>
      </c>
      <c r="F6" s="32">
        <f>'X_KPI_Month'!G6</f>
        <v/>
      </c>
      <c r="G6" s="31">
        <f>'X_KPI_Month'!H6</f>
        <v/>
      </c>
      <c r="H6" s="33">
        <f>IFERROR(G6/C6,0)</f>
        <v/>
      </c>
    </row>
    <row r="7">
      <c r="A7" s="23">
        <f>'X_KPI_Month'!A7</f>
        <v/>
      </c>
      <c r="B7" s="31">
        <f>'X_KPI_Month'!B7</f>
        <v/>
      </c>
      <c r="C7" s="31">
        <f>'X_KPI_Month'!C7</f>
        <v/>
      </c>
      <c r="D7" s="24">
        <f>IFERROR('X_KPI_Month'!E7/'X_KPI_Month'!D7,"-")</f>
        <v/>
      </c>
      <c r="E7" s="31">
        <f>'X_KPI_Month'!F7</f>
        <v/>
      </c>
      <c r="F7" s="32">
        <f>'X_KPI_Month'!G7</f>
        <v/>
      </c>
      <c r="G7" s="31">
        <f>'X_KPI_Month'!H7</f>
        <v/>
      </c>
      <c r="H7" s="33">
        <f>IFERROR(G7/C7,0)</f>
        <v/>
      </c>
    </row>
    <row r="8">
      <c r="A8" s="23">
        <f>'X_KPI_Month'!A8</f>
        <v/>
      </c>
      <c r="B8" s="31">
        <f>'X_KPI_Month'!B8</f>
        <v/>
      </c>
      <c r="C8" s="31">
        <f>'X_KPI_Month'!C8</f>
        <v/>
      </c>
      <c r="D8" s="24">
        <f>IFERROR('X_KPI_Month'!E8/'X_KPI_Month'!D8,"-")</f>
        <v/>
      </c>
      <c r="E8" s="31">
        <f>'X_KPI_Month'!F8</f>
        <v/>
      </c>
      <c r="F8" s="32">
        <f>'X_KPI_Month'!G8</f>
        <v/>
      </c>
      <c r="G8" s="31">
        <f>'X_KPI_Month'!H8</f>
        <v/>
      </c>
      <c r="H8" s="33">
        <f>IFERROR(G8/C8,0)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zoomScale="9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8" customWidth="1" min="4" max="4"/>
    <col width="11" customWidth="1" min="5" max="5"/>
    <col width="10" customWidth="1" min="6" max="6"/>
    <col width="8" customWidth="1" min="7" max="7"/>
  </cols>
  <sheetData>
    <row r="1">
      <c r="A1" s="15" t="inlineStr">
        <is>
          <t>DISPATCH &amp; JOB WORK - by month</t>
        </is>
      </c>
    </row>
    <row r="2">
      <c r="A2" s="16" t="inlineStr">
        <is>
          <t>Dispatch kg/value, realisation, coating cost.</t>
        </is>
      </c>
    </row>
    <row r="4" ht="30" customHeight="1">
      <c r="A4" s="20" t="inlineStr">
        <is>
          <t>Month</t>
        </is>
      </c>
      <c r="B4" s="20" t="inlineStr">
        <is>
          <t>Dispatched kg</t>
        </is>
      </c>
      <c r="C4" s="20" t="inlineStr">
        <is>
          <t>Dispatch Rs</t>
        </is>
      </c>
      <c r="D4" s="20" t="inlineStr">
        <is>
          <t>Rs / kg</t>
        </is>
      </c>
      <c r="E4" s="20" t="inlineStr">
        <is>
          <t>Sent to Coater kg</t>
        </is>
      </c>
      <c r="F4" s="20" t="inlineStr">
        <is>
          <t>PC Cost Rs</t>
        </is>
      </c>
      <c r="G4" s="20" t="inlineStr">
        <is>
          <t>PC Rs / kg</t>
        </is>
      </c>
    </row>
    <row r="5">
      <c r="A5" s="23">
        <f>'X_KPI_Month'!A5</f>
        <v/>
      </c>
      <c r="B5" s="31">
        <f>'X_KPI_Month'!I5</f>
        <v/>
      </c>
      <c r="C5" s="32">
        <f>'X_KPI_Month'!J5</f>
        <v/>
      </c>
      <c r="D5" s="30">
        <f>IFERROR(C5/B5,0)</f>
        <v/>
      </c>
      <c r="E5" s="31">
        <f>'X_KPI_Month'!L5</f>
        <v/>
      </c>
      <c r="F5" s="32">
        <f>'X_KPI_Month'!K5</f>
        <v/>
      </c>
      <c r="G5" s="30">
        <f>IFERROR(F5/E5,0)</f>
        <v/>
      </c>
    </row>
    <row r="6">
      <c r="A6" s="23">
        <f>'X_KPI_Month'!A6</f>
        <v/>
      </c>
      <c r="B6" s="31">
        <f>'X_KPI_Month'!I6</f>
        <v/>
      </c>
      <c r="C6" s="32">
        <f>'X_KPI_Month'!J6</f>
        <v/>
      </c>
      <c r="D6" s="30">
        <f>IFERROR(C6/B6,0)</f>
        <v/>
      </c>
      <c r="E6" s="31">
        <f>'X_KPI_Month'!L6</f>
        <v/>
      </c>
      <c r="F6" s="32">
        <f>'X_KPI_Month'!K6</f>
        <v/>
      </c>
      <c r="G6" s="30">
        <f>IFERROR(F6/E6,0)</f>
        <v/>
      </c>
    </row>
    <row r="7">
      <c r="A7" s="23">
        <f>'X_KPI_Month'!A7</f>
        <v/>
      </c>
      <c r="B7" s="31">
        <f>'X_KPI_Month'!I7</f>
        <v/>
      </c>
      <c r="C7" s="32">
        <f>'X_KPI_Month'!J7</f>
        <v/>
      </c>
      <c r="D7" s="30">
        <f>IFERROR(C7/B7,0)</f>
        <v/>
      </c>
      <c r="E7" s="31">
        <f>'X_KPI_Month'!L7</f>
        <v/>
      </c>
      <c r="F7" s="32">
        <f>'X_KPI_Month'!K7</f>
        <v/>
      </c>
      <c r="G7" s="30">
        <f>IFERROR(F7/E7,0)</f>
        <v/>
      </c>
    </row>
    <row r="8">
      <c r="A8" s="23">
        <f>'X_KPI_Month'!A8</f>
        <v/>
      </c>
      <c r="B8" s="31">
        <f>'X_KPI_Month'!I8</f>
        <v/>
      </c>
      <c r="C8" s="32">
        <f>'X_KPI_Month'!J8</f>
        <v/>
      </c>
      <c r="D8" s="30">
        <f>IFERROR(C8/B8,0)</f>
        <v/>
      </c>
      <c r="E8" s="31">
        <f>'X_KPI_Month'!L8</f>
        <v/>
      </c>
      <c r="F8" s="32">
        <f>'X_KPI_Month'!K8</f>
        <v/>
      </c>
      <c r="G8" s="30">
        <f>IFERROR(F8/E8,0)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9" customWidth="1" min="6" max="6"/>
    <col width="18" customWidth="1" min="7" max="7"/>
  </cols>
  <sheetData>
    <row r="1">
      <c r="A1" s="15" t="inlineStr">
        <is>
          <t>RM REQUIREMENT - what to buy (replaces requisition)</t>
        </is>
      </c>
    </row>
    <row r="2">
      <c r="A2" s="16" t="inlineStr">
        <is>
          <t>Open requirement x BOM set weight - RM stock - open PO pending (Power Query).</t>
        </is>
      </c>
    </row>
    <row r="4" ht="30" customHeight="1">
      <c r="A4" s="20" t="inlineStr">
        <is>
          <t>Material ID</t>
        </is>
      </c>
      <c r="B4" s="20" t="inlineStr">
        <is>
          <t>Required kg (open req x BOM)</t>
        </is>
      </c>
      <c r="C4" s="20" t="inlineStr">
        <is>
          <t>RM Stock kg</t>
        </is>
      </c>
      <c r="D4" s="20" t="inlineStr">
        <is>
          <t>On Order kg</t>
        </is>
      </c>
      <c r="E4" s="20" t="inlineStr">
        <is>
          <t>To Buy kg</t>
        </is>
      </c>
      <c r="F4" s="20" t="inlineStr">
        <is>
          <t>Min Level kg</t>
        </is>
      </c>
      <c r="G4" s="20" t="inlineStr">
        <is>
          <t>Action</t>
        </is>
      </c>
    </row>
    <row r="5">
      <c r="A5" s="23" t="inlineStr">
        <is>
          <t>GPSP-1.6</t>
        </is>
      </c>
      <c r="B5" s="29" t="n">
        <v>10239</v>
      </c>
      <c r="C5" s="29" t="n">
        <v>2093.7</v>
      </c>
      <c r="D5" s="29" t="n">
        <v>1424.5</v>
      </c>
      <c r="E5" s="30">
        <f>MAX(0,B5-C5-D5)</f>
        <v/>
      </c>
      <c r="F5" s="29" t="n">
        <v>1500</v>
      </c>
      <c r="G5" s="25">
        <f>IF(E5&gt;0,"WARN: raise PO","OK")</f>
        <v/>
      </c>
    </row>
    <row r="6">
      <c r="A6" s="23" t="inlineStr">
        <is>
          <t>GPSP-1.2</t>
        </is>
      </c>
      <c r="B6" s="29" t="n">
        <v>3640</v>
      </c>
      <c r="C6" s="29" t="n">
        <v>1281.3</v>
      </c>
      <c r="D6" s="29" t="n">
        <v>1640</v>
      </c>
      <c r="E6" s="30">
        <f>MAX(0,B6-C6-D6)</f>
        <v/>
      </c>
      <c r="F6" s="29" t="n">
        <v>1000</v>
      </c>
      <c r="G6" s="25">
        <f>IF(E6&gt;0,"WARN: raise PO","OK")</f>
        <v/>
      </c>
    </row>
    <row r="7">
      <c r="A7" s="23" t="inlineStr">
        <is>
          <t>HRCA-2.0</t>
        </is>
      </c>
      <c r="B7" s="29" t="n">
        <v>2227</v>
      </c>
      <c r="C7" s="29" t="n">
        <v>425.3</v>
      </c>
      <c r="D7" s="29" t="n">
        <v>0</v>
      </c>
      <c r="E7" s="30">
        <f>MAX(0,B7-C7-D7)</f>
        <v/>
      </c>
      <c r="F7" s="29" t="n">
        <v>600</v>
      </c>
      <c r="G7" s="25">
        <f>IF(E7&gt;0,"WARN: raise PO","OK")</f>
        <v/>
      </c>
    </row>
  </sheetData>
  <conditionalFormatting sqref="G5:G7">
    <cfRule type="expression" priority="1" dxfId="2" stopIfTrue="1">
      <formula>OR(LEFT(G5,5)="READY",G5="OK",LEFT(G5,6)="CLOSED")</formula>
    </cfRule>
    <cfRule type="expression" priority="2" dxfId="1" stopIfTrue="1">
      <formula>OR(LEFT(G5,4)="WARN",LEFT(G5,2)="IN",LEFT(G5,3)="NOT",LEFT(G5,7)="REORDER",LEFT(G5,5)="STALE",LEFT(G5,4)="PART",LEFT(G5,7)="PENDING",LEFT(G5,5)="READY")</formula>
    </cfRule>
    <cfRule type="expression" priority="3" dxfId="0">
      <formula>LEN(G5)&gt;0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zoomScale="9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40" customWidth="1" min="4" max="4"/>
    <col width="9" customWidth="1" min="5" max="5"/>
    <col width="10" customWidth="1" min="6" max="6"/>
  </cols>
  <sheetData>
    <row r="1">
      <c r="A1" s="15" t="inlineStr">
        <is>
          <t>LOT TRACE - pick a Lot ID in B3, then Refresh</t>
        </is>
      </c>
    </row>
    <row r="2">
      <c r="A2" s="16" t="inlineStr">
        <is>
          <t>Power Query parameter query: PO -&gt; GRN -&gt; QC -&gt; batches -&gt; production -&gt; JWC -&gt; DC for one lot (no FILTER formulas).</t>
        </is>
      </c>
    </row>
    <row r="3">
      <c r="A3" s="17" t="inlineStr">
        <is>
          <t>Lot ID</t>
        </is>
      </c>
      <c r="B3" s="18" t="inlineStr">
        <is>
          <t>GP-2728-0001</t>
        </is>
      </c>
      <c r="C3" s="17" t="inlineStr">
        <is>
          <t>Refreshed with run</t>
        </is>
      </c>
      <c r="D3" s="34" t="inlineStr">
        <is>
          <t>RUN-270415-0915</t>
        </is>
      </c>
    </row>
    <row r="5" ht="30" customHeight="1">
      <c r="A5" s="20" t="inlineStr">
        <is>
          <t>Step</t>
        </is>
      </c>
      <c r="B5" s="20" t="inlineStr">
        <is>
          <t>ID</t>
        </is>
      </c>
      <c r="C5" s="20" t="inlineStr">
        <is>
          <t>Date</t>
        </is>
      </c>
      <c r="D5" s="20" t="inlineStr">
        <is>
          <t>Detail</t>
        </is>
      </c>
      <c r="E5" s="20" t="inlineStr">
        <is>
          <t>kg / Qty</t>
        </is>
      </c>
      <c r="F5" s="20" t="inlineStr">
        <is>
          <t>Book</t>
        </is>
      </c>
    </row>
    <row r="6">
      <c r="A6" s="21" t="inlineStr">
        <is>
          <t>PO line</t>
        </is>
      </c>
      <c r="B6" s="23" t="inlineStr">
        <is>
          <t>PO/27-28/001-01</t>
        </is>
      </c>
      <c r="C6" s="26" t="n">
        <v>46479</v>
      </c>
      <c r="D6" s="23" t="inlineStr">
        <is>
          <t>Supplier A (masked), GPSP-1.6, ordered 3,000 kg</t>
        </is>
      </c>
      <c r="E6" s="29" t="n">
        <v>3000</v>
      </c>
      <c r="F6" s="23" t="inlineStr">
        <is>
          <t>Stores</t>
        </is>
      </c>
    </row>
    <row r="7">
      <c r="A7" s="21" t="inlineStr">
        <is>
          <t>GRN / lot</t>
        </is>
      </c>
      <c r="B7" s="23" t="inlineStr">
        <is>
          <t>GP-2728-0001</t>
        </is>
      </c>
      <c r="C7" s="26" t="n">
        <v>46485</v>
      </c>
      <c r="D7" s="23" t="inlineStr">
        <is>
          <t>Invoice INV/3381, 40 sheets</t>
        </is>
      </c>
      <c r="E7" s="29" t="n">
        <v>1575.5</v>
      </c>
      <c r="F7" s="23" t="inlineStr">
        <is>
          <t>Stores</t>
        </is>
      </c>
    </row>
    <row r="8">
      <c r="A8" s="21" t="inlineStr">
        <is>
          <t>QC</t>
        </is>
      </c>
      <c r="B8" s="23" t="inlineStr">
        <is>
          <t>QC-2728-000002</t>
        </is>
      </c>
      <c r="C8" s="26" t="n">
        <v>46485</v>
      </c>
      <c r="D8" s="23" t="inlineStr">
        <is>
          <t>ACCEPTED</t>
        </is>
      </c>
      <c r="E8" s="29" t="n">
        <v>1575.5</v>
      </c>
      <c r="F8" s="23" t="inlineStr">
        <is>
          <t>Stores</t>
        </is>
      </c>
    </row>
    <row r="9">
      <c r="A9" s="21" t="inlineStr">
        <is>
          <t>Batch (issue)</t>
        </is>
      </c>
      <c r="B9" s="23" t="inlineStr">
        <is>
          <t>ISS-2728-000001</t>
        </is>
      </c>
      <c r="C9" s="26" t="n">
        <v>46489</v>
      </c>
      <c r="D9" s="23" t="inlineStr">
        <is>
          <t>MC-01, 12 sheets</t>
        </is>
      </c>
      <c r="E9" s="29" t="n">
        <v>471</v>
      </c>
      <c r="F9" s="23" t="inlineStr">
        <is>
          <t>Stores</t>
        </is>
      </c>
    </row>
    <row r="10">
      <c r="A10" s="21" t="inlineStr">
        <is>
          <t>Return</t>
        </is>
      </c>
      <c r="B10" s="23" t="inlineStr">
        <is>
          <t>OFC-2728-000003</t>
        </is>
      </c>
      <c r="C10" s="26" t="n">
        <v>46490</v>
      </c>
      <c r="D10" s="23" t="inlineStr">
        <is>
          <t>Offcut back to lot</t>
        </is>
      </c>
      <c r="E10" s="29" t="n">
        <v>18.4</v>
      </c>
      <c r="F10" s="23" t="inlineStr">
        <is>
          <t>Stores</t>
        </is>
      </c>
    </row>
    <row r="11">
      <c r="A11" s="21" t="inlineStr">
        <is>
          <t>Production</t>
        </is>
      </c>
      <c r="B11" s="23" t="inlineStr">
        <is>
          <t>PRD-2728-000001</t>
        </is>
      </c>
      <c r="C11" s="26" t="n">
        <v>46489</v>
      </c>
      <c r="D11" s="23" t="inlineStr">
        <is>
          <t>CUTTING A12-BP-01 x 60</t>
        </is>
      </c>
      <c r="E11" s="29" t="n">
        <v>372.9</v>
      </c>
      <c r="F11" s="23" t="inlineStr">
        <is>
          <t>Production</t>
        </is>
      </c>
    </row>
    <row r="12">
      <c r="A12" s="21" t="inlineStr">
        <is>
          <t>Job work</t>
        </is>
      </c>
      <c r="B12" s="23" t="inlineStr">
        <is>
          <t>JWC/27-28/0001-01</t>
        </is>
      </c>
      <c r="C12" s="26" t="n">
        <v>46490</v>
      </c>
      <c r="D12" s="23" t="inlineStr">
        <is>
          <t>Coater 1, 40 nos, 166 sq ft</t>
        </is>
      </c>
      <c r="E12" s="29" t="n">
        <v>40</v>
      </c>
      <c r="F12" s="23" t="inlineStr">
        <is>
          <t>Dispatch</t>
        </is>
      </c>
    </row>
    <row r="13">
      <c r="A13" s="21" t="inlineStr">
        <is>
          <t>Coater return</t>
        </is>
      </c>
      <c r="B13" s="23" t="inlineStr">
        <is>
          <t>CRT-2728-00002</t>
        </is>
      </c>
      <c r="C13" s="26" t="n">
        <v>46492</v>
      </c>
      <c r="D13" s="23" t="inlineStr">
        <is>
          <t>BACK-OK 30 nos</t>
        </is>
      </c>
      <c r="E13" s="29" t="n">
        <v>30</v>
      </c>
      <c r="F13" s="23" t="inlineStr">
        <is>
          <t>Dispatch</t>
        </is>
      </c>
    </row>
    <row r="14">
      <c r="A14" s="21" t="inlineStr">
        <is>
          <t>Delivery</t>
        </is>
      </c>
      <c r="B14" s="23" t="inlineStr">
        <is>
          <t>DC/27-28/0001-01</t>
        </is>
      </c>
      <c r="C14" s="26" t="n">
        <v>46491</v>
      </c>
      <c r="D14" s="23" t="inlineStr">
        <is>
          <t>Customer 1, 25 nos, Req REQ-2728-00002</t>
        </is>
      </c>
      <c r="E14" s="29" t="n">
        <v>25</v>
      </c>
      <c r="F14" s="23" t="inlineStr">
        <is>
          <t>Dispatch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zoomScale="9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5" customWidth="1" min="4" max="4"/>
    <col width="12" customWidth="1" min="5" max="5"/>
    <col width="9" customWidth="1" min="6" max="6"/>
    <col width="16" customWidth="1" min="7" max="7"/>
    <col width="15" customWidth="1" min="8" max="8"/>
  </cols>
  <sheetData>
    <row r="1">
      <c r="A1" s="15" t="inlineStr">
        <is>
          <t>DC TRACE - pick a Challan No in B3, then Refresh</t>
        </is>
      </c>
    </row>
    <row r="2">
      <c r="A2" s="16" t="inlineStr">
        <is>
          <t>Back from a delivery challan to JWC line, batch, lot, GRN and PO.</t>
        </is>
      </c>
    </row>
    <row r="3">
      <c r="A3" s="17" t="inlineStr">
        <is>
          <t>Challan No</t>
        </is>
      </c>
      <c r="B3" s="18" t="inlineStr">
        <is>
          <t>DC/27-28/0002</t>
        </is>
      </c>
    </row>
    <row r="5" ht="30" customHeight="1">
      <c r="A5" s="20" t="inlineStr">
        <is>
          <t>DC Line</t>
        </is>
      </c>
      <c r="B5" s="20" t="inlineStr">
        <is>
          <t>Part</t>
        </is>
      </c>
      <c r="C5" s="20" t="inlineStr">
        <is>
          <t>JWC Line</t>
        </is>
      </c>
      <c r="D5" s="20" t="inlineStr">
        <is>
          <t>Batch</t>
        </is>
      </c>
      <c r="E5" s="20" t="inlineStr">
        <is>
          <t>Lot</t>
        </is>
      </c>
      <c r="F5" s="20" t="inlineStr">
        <is>
          <t>GRN Date</t>
        </is>
      </c>
      <c r="G5" s="20" t="inlineStr">
        <is>
          <t>Supplier</t>
        </is>
      </c>
      <c r="H5" s="20" t="inlineStr">
        <is>
          <t>PO Line</t>
        </is>
      </c>
    </row>
    <row r="6">
      <c r="A6" s="23" t="inlineStr">
        <is>
          <t>DC/27-28/0002-01</t>
        </is>
      </c>
      <c r="B6" s="23" t="inlineStr">
        <is>
          <t>B07-CB-02</t>
        </is>
      </c>
      <c r="C6" s="23" t="inlineStr">
        <is>
          <t>JWC/27-28/0002-01</t>
        </is>
      </c>
      <c r="D6" s="23" t="inlineStr">
        <is>
          <t>ISS-2728-000002</t>
        </is>
      </c>
      <c r="E6" s="23" t="inlineStr">
        <is>
          <t>GP-2728-0002</t>
        </is>
      </c>
      <c r="F6" s="26" t="n">
        <v>46485</v>
      </c>
      <c r="G6" s="23" t="inlineStr">
        <is>
          <t>Supplier A (masked)</t>
        </is>
      </c>
      <c r="H6" s="23" t="inlineStr">
        <is>
          <t>PO/27-28/001-02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zoomScale="9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40" customWidth="1" min="4" max="4"/>
  </cols>
  <sheetData>
    <row r="1">
      <c r="A1" s="15" t="inlineStr">
        <is>
          <t>MONTHLY REVIEW PACK (MRM)</t>
        </is>
      </c>
    </row>
    <row r="2">
      <c r="A2" s="16" t="inlineStr">
        <is>
          <t>Same sections every month; read from the summaries. No mail, no print area.</t>
        </is>
      </c>
    </row>
    <row r="4" ht="30" customHeight="1">
      <c r="A4" s="20" t="inlineStr">
        <is>
          <t>Section</t>
        </is>
      </c>
      <c r="B4" s="20" t="inlineStr">
        <is>
          <t>This Month</t>
        </is>
      </c>
      <c r="C4" s="20" t="inlineStr">
        <is>
          <t>Last Month</t>
        </is>
      </c>
      <c r="D4" s="20" t="inlineStr">
        <is>
          <t>Comment (typed in review)</t>
        </is>
      </c>
    </row>
    <row r="5">
      <c r="A5" s="21" t="inlineStr">
        <is>
          <t>1. Dispatch kg</t>
        </is>
      </c>
      <c r="B5" s="35">
        <f>'X_KPI_Month'!I7</f>
        <v/>
      </c>
      <c r="C5" s="23">
        <f>'X_KPI_Month'!I6</f>
        <v/>
      </c>
      <c r="D5" s="27" t="inlineStr"/>
    </row>
    <row r="6">
      <c r="A6" s="21" t="inlineStr">
        <is>
          <t>2. Cutting output kg</t>
        </is>
      </c>
      <c r="B6" s="35">
        <f>'X_KPI_Month'!C7</f>
        <v/>
      </c>
      <c r="C6" s="23">
        <f>'X_KPI_Month'!C6</f>
        <v/>
      </c>
      <c r="D6" s="27" t="inlineStr"/>
    </row>
    <row r="7">
      <c r="A7" s="21" t="inlineStr">
        <is>
          <t>3. Yield (closed batches)</t>
        </is>
      </c>
      <c r="B7" s="35">
        <f>'Production &amp; Yield'!D7</f>
        <v/>
      </c>
      <c r="C7" s="23">
        <f>'Production &amp; Yield'!D6</f>
        <v/>
      </c>
      <c r="D7" s="27" t="inlineStr"/>
    </row>
    <row r="8">
      <c r="A8" s="21" t="inlineStr">
        <is>
          <t>4. Scrap Rs</t>
        </is>
      </c>
      <c r="B8" s="35">
        <f>'X_KPI_Month'!G7</f>
        <v/>
      </c>
      <c r="C8" s="23">
        <f>'X_KPI_Month'!G6</f>
        <v/>
      </c>
      <c r="D8" s="27" t="inlineStr"/>
    </row>
    <row r="9">
      <c r="A9" s="21" t="inlineStr">
        <is>
          <t>5. PC cost Rs/kg</t>
        </is>
      </c>
      <c r="B9" s="35">
        <f>'Dispatch &amp; JWC'!G7</f>
        <v/>
      </c>
      <c r="C9" s="23">
        <f>'Dispatch &amp; JWC'!G6</f>
        <v/>
      </c>
      <c r="D9" s="27" t="inlineStr"/>
    </row>
    <row r="10">
      <c r="A10" s="21" t="inlineStr">
        <is>
          <t>6. Open BLOCKER exceptions</t>
        </is>
      </c>
      <c r="B10" s="35">
        <f>'Control Tower'!B17</f>
        <v/>
      </c>
      <c r="C10" s="23" t="inlineStr"/>
      <c r="D10" s="2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zoomScale="9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8" customWidth="1" min="6" max="6"/>
    <col width="9" customWidth="1" min="7" max="7"/>
    <col width="8" customWidth="1" min="8" max="8"/>
    <col width="10" customWidth="1" min="9" max="9"/>
    <col width="11" customWidth="1" min="10" max="10"/>
    <col width="9" customWidth="1" min="11" max="11"/>
    <col width="10" customWidth="1" min="12" max="12"/>
  </cols>
  <sheetData>
    <row r="1">
      <c r="A1" s="15" t="inlineStr">
        <is>
          <t>X_KPI_MONTH - monthly summary built by Power Query (values)</t>
        </is>
      </c>
    </row>
    <row r="2">
      <c r="A2" s="16" t="inlineStr">
        <is>
          <t>Small table (one row per month) - every tile and chart reads this, never a register. Earlier months come from archived books (sample values).</t>
        </is>
      </c>
    </row>
    <row r="4" ht="30" customHeight="1">
      <c r="A4" s="20" t="inlineStr">
        <is>
          <t>Month</t>
        </is>
      </c>
      <c r="B4" s="20" t="inlineStr">
        <is>
          <t>RM Issued kg</t>
        </is>
      </c>
      <c r="C4" s="20" t="inlineStr">
        <is>
          <t>Cut Output kg</t>
        </is>
      </c>
      <c r="D4" s="20" t="inlineStr">
        <is>
          <t>Net Batch kg (closed)</t>
        </is>
      </c>
      <c r="E4" s="20" t="inlineStr">
        <is>
          <t>Cut Output kg (closed)</t>
        </is>
      </c>
      <c r="F4" s="20" t="inlineStr">
        <is>
          <t>Scrap kg</t>
        </is>
      </c>
      <c r="G4" s="20" t="inlineStr">
        <is>
          <t>Scrap Rs</t>
        </is>
      </c>
      <c r="H4" s="20" t="inlineStr">
        <is>
          <t>Rejected kg</t>
        </is>
      </c>
      <c r="I4" s="20" t="inlineStr">
        <is>
          <t>Dispatched kg</t>
        </is>
      </c>
      <c r="J4" s="20" t="inlineStr">
        <is>
          <t>Dispatch Rs</t>
        </is>
      </c>
      <c r="K4" s="20" t="inlineStr">
        <is>
          <t>PC Cost Rs</t>
        </is>
      </c>
      <c r="L4" s="20" t="inlineStr">
        <is>
          <t>Sent to Coater kg</t>
        </is>
      </c>
    </row>
    <row r="5">
      <c r="A5" s="23" t="inlineStr">
        <is>
          <t>Jan-27</t>
        </is>
      </c>
      <c r="B5" s="29" t="n">
        <v>121500</v>
      </c>
      <c r="C5" s="29" t="n">
        <v>109200</v>
      </c>
      <c r="D5" s="29" t="n">
        <v>118900</v>
      </c>
      <c r="E5" s="29" t="n">
        <v>108800</v>
      </c>
      <c r="F5" s="29" t="n">
        <v>9100</v>
      </c>
      <c r="G5" s="36" t="n">
        <v>678000</v>
      </c>
      <c r="H5" s="29" t="n">
        <v>210</v>
      </c>
      <c r="I5" s="29" t="n">
        <v>96100</v>
      </c>
      <c r="J5" s="36" t="n">
        <v>15950000</v>
      </c>
      <c r="K5" s="36" t="n">
        <v>268000</v>
      </c>
      <c r="L5" s="29" t="n">
        <v>9900</v>
      </c>
    </row>
    <row r="6">
      <c r="A6" s="23" t="inlineStr">
        <is>
          <t>Feb-27</t>
        </is>
      </c>
      <c r="B6" s="29" t="n">
        <v>128300</v>
      </c>
      <c r="C6" s="29" t="n">
        <v>115600</v>
      </c>
      <c r="D6" s="29" t="n">
        <v>125400</v>
      </c>
      <c r="E6" s="29" t="n">
        <v>114700</v>
      </c>
      <c r="F6" s="29" t="n">
        <v>9800</v>
      </c>
      <c r="G6" s="36" t="n">
        <v>730100</v>
      </c>
      <c r="H6" s="29" t="n">
        <v>185</v>
      </c>
      <c r="I6" s="29" t="n">
        <v>103800</v>
      </c>
      <c r="J6" s="36" t="n">
        <v>17130000</v>
      </c>
      <c r="K6" s="36" t="n">
        <v>281000</v>
      </c>
      <c r="L6" s="29" t="n">
        <v>10400</v>
      </c>
    </row>
    <row r="7">
      <c r="A7" s="23" t="inlineStr">
        <is>
          <t>Mar-27</t>
        </is>
      </c>
      <c r="B7" s="29" t="n">
        <v>133800</v>
      </c>
      <c r="C7" s="29" t="n">
        <v>121000</v>
      </c>
      <c r="D7" s="29" t="n">
        <v>131200</v>
      </c>
      <c r="E7" s="29" t="n">
        <v>120100</v>
      </c>
      <c r="F7" s="29" t="n">
        <v>10200</v>
      </c>
      <c r="G7" s="36" t="n">
        <v>760000</v>
      </c>
      <c r="H7" s="29" t="n">
        <v>240</v>
      </c>
      <c r="I7" s="29" t="n">
        <v>109200</v>
      </c>
      <c r="J7" s="36" t="n">
        <v>18050000</v>
      </c>
      <c r="K7" s="36" t="n">
        <v>296500</v>
      </c>
      <c r="L7" s="29" t="n">
        <v>11000</v>
      </c>
    </row>
    <row r="8">
      <c r="A8" s="23" t="inlineStr">
        <is>
          <t>Apr-27</t>
        </is>
      </c>
      <c r="B8" s="29" t="n">
        <v>1105.9</v>
      </c>
      <c r="C8" s="29" t="n">
        <v>903.9</v>
      </c>
      <c r="D8" s="29" t="n">
        <v>0</v>
      </c>
      <c r="E8" s="29" t="n">
        <v>0</v>
      </c>
      <c r="F8" s="29" t="n">
        <v>74.40000000000001</v>
      </c>
      <c r="G8" s="36" t="n">
        <v>5543</v>
      </c>
      <c r="H8" s="29" t="n">
        <v>24.86</v>
      </c>
      <c r="I8" s="29" t="n">
        <v>224.375</v>
      </c>
      <c r="J8" s="36" t="n">
        <v>38309.07</v>
      </c>
      <c r="K8" s="36" t="n">
        <v>5346</v>
      </c>
      <c r="L8" s="29" t="n">
        <v>363.6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zoomScale="9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1" customWidth="1" min="4" max="4"/>
    <col width="6" customWidth="1" min="5" max="5"/>
    <col width="8" customWidth="1" min="6" max="6"/>
  </cols>
  <sheetData>
    <row r="1">
      <c r="A1" s="15" t="inlineStr">
        <is>
          <t>X_BALANCES - current positions from the three books (values)</t>
        </is>
      </c>
    </row>
    <row r="2">
      <c r="A2" s="16" t="inlineStr">
        <is>
          <t>Lot, WIP, at-coater and FG balances as published by their owners.</t>
        </is>
      </c>
    </row>
    <row r="4" ht="30" customHeight="1">
      <c r="A4" s="20" t="inlineStr">
        <is>
          <t>Position</t>
        </is>
      </c>
      <c r="B4" s="20" t="inlineStr">
        <is>
          <t>Owner Book</t>
        </is>
      </c>
      <c r="C4" s="20" t="inlineStr">
        <is>
          <t>kg</t>
        </is>
      </c>
      <c r="D4" s="20" t="inlineStr">
        <is>
          <t>Rs</t>
        </is>
      </c>
      <c r="E4" s="20" t="inlineStr">
        <is>
          <t>Items</t>
        </is>
      </c>
      <c r="F4" s="20" t="inlineStr">
        <is>
          <t>Oldest Days</t>
        </is>
      </c>
    </row>
    <row r="5">
      <c r="A5" s="23" t="inlineStr">
        <is>
          <t>RM stock (open lots)</t>
        </is>
      </c>
      <c r="B5" s="23" t="inlineStr">
        <is>
          <t>Stores</t>
        </is>
      </c>
      <c r="C5" s="29" t="n">
        <v>3941.4</v>
      </c>
      <c r="D5" s="36" t="n">
        <v>287102</v>
      </c>
      <c r="E5" s="23" t="n">
        <v>5</v>
      </c>
      <c r="F5" s="23" t="n">
        <v>14</v>
      </c>
    </row>
    <row r="6">
      <c r="A6" s="23" t="inlineStr">
        <is>
          <t>RM stock older than 90 days</t>
        </is>
      </c>
      <c r="B6" s="23" t="inlineStr">
        <is>
          <t>Stores</t>
        </is>
      </c>
      <c r="C6" s="29" t="n">
        <v>0</v>
      </c>
      <c r="D6" s="36" t="n">
        <v>0</v>
      </c>
      <c r="E6" s="23" t="n">
        <v>0</v>
      </c>
      <c r="F6" s="23" t="n">
        <v>0</v>
      </c>
    </row>
    <row r="7">
      <c r="A7" s="23" t="inlineStr">
        <is>
          <t>WIP (calculated)</t>
        </is>
      </c>
      <c r="B7" s="23" t="inlineStr">
        <is>
          <t>Production</t>
        </is>
      </c>
      <c r="C7" s="29" t="n">
        <v>202.29</v>
      </c>
      <c r="D7" s="36" t="n">
        <v>15070</v>
      </c>
      <c r="E7" s="23" t="n">
        <v>4</v>
      </c>
      <c r="F7" s="23" t="n">
        <v>3</v>
      </c>
    </row>
    <row r="8">
      <c r="A8" s="23" t="inlineStr">
        <is>
          <t>At coaters (pending)</t>
        </is>
      </c>
      <c r="B8" s="23" t="inlineStr">
        <is>
          <t>Dispatch</t>
        </is>
      </c>
      <c r="C8" s="29" t="n">
        <v>291.05</v>
      </c>
      <c r="D8" s="36" t="n">
        <v>0</v>
      </c>
      <c r="E8" s="23" t="n">
        <v>2</v>
      </c>
      <c r="F8" s="23" t="n">
        <v>2</v>
      </c>
    </row>
    <row r="9">
      <c r="A9" s="23" t="inlineStr">
        <is>
          <t>FG available (calculated)</t>
        </is>
      </c>
      <c r="B9" s="23" t="inlineStr">
        <is>
          <t>Dispatch</t>
        </is>
      </c>
      <c r="C9" s="29" t="n">
        <v>31.08</v>
      </c>
      <c r="D9" s="36" t="n">
        <v>0</v>
      </c>
      <c r="E9" s="23" t="n">
        <v>1</v>
      </c>
      <c r="F9" s="23" t="n">
        <v>0</v>
      </c>
    </row>
    <row r="10">
      <c r="A10" s="23" t="inlineStr">
        <is>
          <t>Consumables</t>
        </is>
      </c>
      <c r="B10" s="23" t="inlineStr">
        <is>
          <t>Stores</t>
        </is>
      </c>
      <c r="C10" s="29" t="n">
        <v>0</v>
      </c>
      <c r="D10" s="36" t="n">
        <v>21842</v>
      </c>
      <c r="E10" s="23" t="n">
        <v>4</v>
      </c>
      <c r="F10" s="2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zoomScale="9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</cols>
  <sheetData>
    <row r="1">
      <c r="A1" s="15" t="inlineStr">
        <is>
          <t>SETTINGS</t>
        </is>
      </c>
    </row>
    <row r="2">
      <c r="A2" s="16" t="inlineStr">
        <is>
          <t>The only place parameters are set. Typed values - no TODAY(), no CELL(). Every change goes to the Change Log.</t>
        </is>
      </c>
    </row>
    <row r="4" ht="30" customHeight="1">
      <c r="A4" s="20" t="inlineStr">
        <is>
          <t>Setting</t>
        </is>
      </c>
      <c r="B4" s="20" t="inlineStr">
        <is>
          <t>Value</t>
        </is>
      </c>
      <c r="C4" s="20" t="inlineStr">
        <is>
          <t>Note</t>
        </is>
      </c>
    </row>
    <row r="5">
      <c r="A5" s="21" t="inlineStr">
        <is>
          <t>DataFolder</t>
        </is>
      </c>
      <c r="B5" s="37" t="inlineStr">
        <is>
          <t>D:\ISKO ERP\FY2027-28\</t>
        </is>
      </c>
      <c r="C5" s="25" t="inlineStr">
        <is>
          <t>Typed once</t>
        </is>
      </c>
    </row>
    <row r="6">
      <c r="A6" s="21" t="inlineStr">
        <is>
          <t>StoresFile</t>
        </is>
      </c>
      <c r="B6" s="37" t="inlineStr">
        <is>
          <t>1 ISKO Stores FY2027-28.xlsx</t>
        </is>
      </c>
      <c r="C6" s="25" t="inlineStr"/>
    </row>
    <row r="7">
      <c r="A7" s="21" t="inlineStr">
        <is>
          <t>ProductionFile</t>
        </is>
      </c>
      <c r="B7" s="37" t="inlineStr">
        <is>
          <t>2 ISKO Production FY2027-28.xlsx</t>
        </is>
      </c>
      <c r="C7" s="25" t="inlineStr"/>
    </row>
    <row r="8">
      <c r="A8" s="21" t="inlineStr">
        <is>
          <t>DispatchFile</t>
        </is>
      </c>
      <c r="B8" s="37" t="inlineStr">
        <is>
          <t>3 ISKO Dispatch &amp; Challan FY2027-28.xlsx</t>
        </is>
      </c>
      <c r="C8" s="25" t="inlineStr"/>
    </row>
    <row r="9">
      <c r="A9" s="21" t="inlineStr">
        <is>
          <t>Period</t>
        </is>
      </c>
      <c r="B9" s="37" t="inlineStr">
        <is>
          <t>Apr-27</t>
        </is>
      </c>
      <c r="C9" s="25" t="inlineStr">
        <is>
          <t>Month shown</t>
        </is>
      </c>
    </row>
    <row r="10">
      <c r="A10" s="21" t="inlineStr">
        <is>
          <t>MaxAgeHours</t>
        </is>
      </c>
      <c r="B10" s="37" t="n">
        <v>24</v>
      </c>
      <c r="C10" s="25" t="inlineStr">
        <is>
          <t>Older source = STALE</t>
        </is>
      </c>
    </row>
    <row r="11">
      <c r="A11" s="21" t="inlineStr">
        <is>
          <t>ArchiveFolder</t>
        </is>
      </c>
      <c r="B11" s="37" t="inlineStr">
        <is>
          <t>D:\ISKO ERP\Archive\</t>
        </is>
      </c>
      <c r="C11" s="25" t="inlineStr">
        <is>
          <t>Earlier FY 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2026-10-27T11:20:05Z</dcterms:created>
  <dcterms:modified xmlns:dcterms="http://purl.org/dc/terms/" xmlns:xsi="http://www.w3.org/2001/XMLSchema-instance" xsi:type="dcterms:W3CDTF">2026-10-27T11:20:05Z</dcterms:modified>
</cp:coreProperties>
</file>