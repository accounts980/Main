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tables/table5.xml" ContentType="application/vnd.openxmlformats-officedocument.spreadsheetml.table+xml"/>
  <Override PartName="/xl/worksheets/sheet12.xml" ContentType="application/vnd.openxmlformats-officedocument.spreadsheetml.worksheet+xml"/>
  <Override PartName="/xl/tables/table6.xml" ContentType="application/vnd.openxmlformats-officedocument.spreadsheetml.table+xml"/>
  <Override PartName="/xl/worksheets/sheet13.xml" ContentType="application/vnd.openxmlformats-officedocument.spreadsheetml.worksheet+xml"/>
  <Override PartName="/xl/tables/table7.xml" ContentType="application/vnd.openxmlformats-officedocument.spreadsheetml.table+xml"/>
  <Override PartName="/xl/worksheets/sheet14.xml" ContentType="application/vnd.openxmlformats-officedocument.spreadsheetml.worksheet+xml"/>
  <Override PartName="/xl/tables/table8.xml" ContentType="application/vnd.openxmlformats-officedocument.spreadsheetml.table+xml"/>
  <Override PartName="/xl/worksheets/sheet15.xml" ContentType="application/vnd.openxmlformats-officedocument.spreadsheetml.worksheet+xml"/>
  <Override PartName="/xl/tables/table9.xml" ContentType="application/vnd.openxmlformats-officedocument.spreadsheetml.table+xml"/>
  <Override PartName="/xl/worksheets/sheet16.xml" ContentType="application/vnd.openxmlformats-officedocument.spreadsheetml.worksheet+xml"/>
  <Override PartName="/xl/tables/table10.xml" ContentType="application/vnd.openxmlformats-officedocument.spreadsheetml.table+xml"/>
  <Override PartName="/xl/worksheets/sheet17.xml" ContentType="application/vnd.openxmlformats-officedocument.spreadsheetml.worksheet+xml"/>
  <Override PartName="/xl/tables/table11.xml" ContentType="application/vnd.openxmlformats-officedocument.spreadsheetml.table+xml"/>
  <Override PartName="/xl/worksheets/sheet18.xml" ContentType="application/vnd.openxmlformats-officedocument.spreadsheetml.worksheet+xml"/>
  <Override PartName="/xl/tables/table12.xml" ContentType="application/vnd.openxmlformats-officedocument.spreadsheetml.table+xml"/>
  <Override PartName="/xl/worksheets/sheet19.xml" ContentType="application/vnd.openxmlformats-officedocument.spreadsheetml.worksheet+xml"/>
  <Override PartName="/xl/tables/table13.xml" ContentType="application/vnd.openxmlformats-officedocument.spreadsheetml.table+xml"/>
  <Override PartName="/xl/worksheets/sheet20.xml" ContentType="application/vnd.openxmlformats-officedocument.spreadsheetml.worksheet+xml"/>
  <Override PartName="/xl/tables/table14.xml" ContentType="application/vnd.openxmlformats-officedocument.spreadsheetml.table+xml"/>
  <Override PartName="/xl/worksheets/sheet21.xml" ContentType="application/vnd.openxmlformats-officedocument.spreadsheetml.worksheet+xml"/>
  <Override PartName="/xl/tables/table15.xml" ContentType="application/vnd.openxmlformats-officedocument.spreadsheetml.table+xml"/>
  <Override PartName="/xl/worksheets/sheet22.xml" ContentType="application/vnd.openxmlformats-officedocument.spreadsheetml.worksheet+xml"/>
  <Override PartName="/xl/tables/table16.xml" ContentType="application/vnd.openxmlformats-officedocument.spreadsheetml.table+xml"/>
  <Override PartName="/xl/worksheets/sheet23.xml" ContentType="application/vnd.openxmlformats-officedocument.spreadsheetml.worksheet+xml"/>
  <Override PartName="/xl/tables/table17.xml" ContentType="application/vnd.openxmlformats-officedocument.spreadsheetml.table+xml"/>
  <Override PartName="/xl/worksheets/sheet24.xml" ContentType="application/vnd.openxmlformats-officedocument.spreadsheetml.worksheet+xml"/>
  <Override PartName="/xl/tables/table18.xml" ContentType="application/vnd.openxmlformats-officedocument.spreadsheetml.table+xml"/>
  <Override PartName="/xl/worksheets/sheet25.xml" ContentType="application/vnd.openxmlformats-officedocument.spreadsheetml.worksheet+xml"/>
  <Override PartName="/xl/tables/table19.xml" ContentType="application/vnd.openxmlformats-officedocument.spreadsheetml.table+xml"/>
  <Override PartName="/xl/worksheets/sheet26.xml" ContentType="application/vnd.openxmlformats-officedocument.spreadsheetml.worksheet+xml"/>
  <Override PartName="/xl/tables/table20.xml" ContentType="application/vnd.openxmlformats-officedocument.spreadsheetml.table+xml"/>
  <Override PartName="/xl/worksheets/sheet27.xml" ContentType="application/vnd.openxmlformats-officedocument.spreadsheetml.worksheet+xml"/>
  <Override PartName="/xl/tables/table21.xml" ContentType="application/vnd.openxmlformats-officedocument.spreadsheetml.table+xml"/>
  <Override PartName="/xl/worksheets/sheet28.xml" ContentType="application/vnd.openxmlformats-officedocument.spreadsheetml.worksheet+xml"/>
  <Override PartName="/xl/tables/table22.xml" ContentType="application/vnd.openxmlformats-officedocument.spreadsheetml.table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O Entry" sheetId="2" state="visible" r:id="rId2"/>
    <sheet xmlns:r="http://schemas.openxmlformats.org/officeDocument/2006/relationships" name="GRN Entry" sheetId="3" state="visible" r:id="rId3"/>
    <sheet xmlns:r="http://schemas.openxmlformats.org/officeDocument/2006/relationships" name="RM Move Entry" sheetId="4" state="visible" r:id="rId4"/>
    <sheet xmlns:r="http://schemas.openxmlformats.org/officeDocument/2006/relationships" name="Cons Entry" sheetId="5" state="visible" r:id="rId5"/>
    <sheet xmlns:r="http://schemas.openxmlformats.org/officeDocument/2006/relationships" name="Adjust Entry" sheetId="6" state="visible" r:id="rId6"/>
    <sheet xmlns:r="http://schemas.openxmlformats.org/officeDocument/2006/relationships" name="PO Header Register" sheetId="7" state="visible" r:id="rId7"/>
    <sheet xmlns:r="http://schemas.openxmlformats.org/officeDocument/2006/relationships" name="PO Line Register" sheetId="8" state="visible" r:id="rId8"/>
    <sheet xmlns:r="http://schemas.openxmlformats.org/officeDocument/2006/relationships" name="GRN Register" sheetId="9" state="visible" r:id="rId9"/>
    <sheet xmlns:r="http://schemas.openxmlformats.org/officeDocument/2006/relationships" name="Lot QC Register" sheetId="10" state="visible" r:id="rId10"/>
    <sheet xmlns:r="http://schemas.openxmlformats.org/officeDocument/2006/relationships" name="RM Move Register" sheetId="11" state="visible" r:id="rId11"/>
    <sheet xmlns:r="http://schemas.openxmlformats.org/officeDocument/2006/relationships" name="Cons Receipt Register" sheetId="12" state="visible" r:id="rId12"/>
    <sheet xmlns:r="http://schemas.openxmlformats.org/officeDocument/2006/relationships" name="Cons Issue Register" sheetId="13" state="visible" r:id="rId13"/>
    <sheet xmlns:r="http://schemas.openxmlformats.org/officeDocument/2006/relationships" name="Adjust Register" sheetId="14" state="visible" r:id="rId14"/>
    <sheet xmlns:r="http://schemas.openxmlformats.org/officeDocument/2006/relationships" name="PO Status" sheetId="15" state="visible" r:id="rId15"/>
    <sheet xmlns:r="http://schemas.openxmlformats.org/officeDocument/2006/relationships" name="Lot Balance" sheetId="16" state="visible" r:id="rId16"/>
    <sheet xmlns:r="http://schemas.openxmlformats.org/officeDocument/2006/relationships" name="Cons Balance" sheetId="17" state="visible" r:id="rId17"/>
    <sheet xmlns:r="http://schemas.openxmlformats.org/officeDocument/2006/relationships" name="M_Material" sheetId="18" state="visible" r:id="rId18"/>
    <sheet xmlns:r="http://schemas.openxmlformats.org/officeDocument/2006/relationships" name="M_Grade" sheetId="19" state="visible" r:id="rId19"/>
    <sheet xmlns:r="http://schemas.openxmlformats.org/officeDocument/2006/relationships" name="M_Supplier" sheetId="20" state="visible" r:id="rId20"/>
    <sheet xmlns:r="http://schemas.openxmlformats.org/officeDocument/2006/relationships" name="M_Consumable" sheetId="21" state="visible" r:id="rId21"/>
    <sheet xmlns:r="http://schemas.openxmlformats.org/officeDocument/2006/relationships" name="M_Reason" sheetId="22" state="visible" r:id="rId22"/>
    <sheet xmlns:r="http://schemas.openxmlformats.org/officeDocument/2006/relationships" name="M_WhereUsed" sheetId="23" state="visible" r:id="rId23"/>
    <sheet xmlns:r="http://schemas.openxmlformats.org/officeDocument/2006/relationships" name="X_Product" sheetId="24" state="visible" r:id="rId24"/>
    <sheet xmlns:r="http://schemas.openxmlformats.org/officeDocument/2006/relationships" name="X_Machine" sheetId="25" state="visible" r:id="rId25"/>
    <sheet xmlns:r="http://schemas.openxmlformats.org/officeDocument/2006/relationships" name="X_People" sheetId="26" state="visible" r:id="rId26"/>
    <sheet xmlns:r="http://schemas.openxmlformats.org/officeDocument/2006/relationships" name="Posting Log" sheetId="27" state="visible" r:id="rId27"/>
    <sheet xmlns:r="http://schemas.openxmlformats.org/officeDocument/2006/relationships" name="Control Totals" sheetId="28" state="visible" r:id="rId28"/>
    <sheet xmlns:r="http://schemas.openxmlformats.org/officeDocument/2006/relationships" name="Settings" sheetId="29" state="visible" r:id="rId29"/>
    <sheet xmlns:r="http://schemas.openxmlformats.org/officeDocument/2006/relationships" name="List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-mmm-yy"/>
    <numFmt numFmtId="166" formatCode="#,##0.000"/>
    <numFmt numFmtId="167" formatCode="yyyy-mm-dd h:mm:ss"/>
    <numFmt numFmtId="168" formatCode="dd-mmm-yy hh:mm"/>
    <numFmt numFmtId="169" formatCode="0.0%"/>
  </numFmts>
  <fonts count="10">
    <font>
      <name val="Calibri"/>
      <family val="2"/>
      <color theme="1"/>
      <sz val="11"/>
      <scheme val="minor"/>
    </font>
    <font>
      <b val="1"/>
      <color rgb="00243247"/>
      <sz val="14"/>
    </font>
    <font>
      <i val="1"/>
      <color rgb="00B5525A"/>
      <sz val="9"/>
    </font>
    <font>
      <b val="1"/>
      <color rgb="00243247"/>
      <sz val="10"/>
    </font>
    <font>
      <color rgb="00243247"/>
      <sz val="10"/>
    </font>
    <font>
      <b val="1"/>
      <color rgb="00243247"/>
      <sz val="9.5"/>
    </font>
    <font>
      <color rgb="00243247"/>
      <sz val="9.5"/>
    </font>
    <font>
      <b val="1"/>
      <color rgb="00243247"/>
      <sz val="13"/>
    </font>
    <font>
      <i val="1"/>
      <color rgb="005A6B82"/>
      <sz val="9"/>
    </font>
    <font>
      <b val="1"/>
      <color rgb="00243247"/>
      <sz val="9"/>
    </font>
  </fonts>
  <fills count="11">
    <fill>
      <patternFill/>
    </fill>
    <fill>
      <patternFill patternType="gray125"/>
    </fill>
    <fill>
      <patternFill patternType="solid">
        <fgColor rgb="00EAE4F8"/>
      </patternFill>
    </fill>
    <fill>
      <patternFill patternType="solid">
        <fgColor rgb="00FFFFFF"/>
      </patternFill>
    </fill>
    <fill>
      <patternFill patternType="solid">
        <fgColor rgb="00FFF4D6"/>
      </patternFill>
    </fill>
    <fill>
      <patternFill patternType="solid">
        <fgColor rgb="00E2F0E8"/>
      </patternFill>
    </fill>
    <fill>
      <patternFill patternType="solid">
        <fgColor rgb="00F7F9FC"/>
      </patternFill>
    </fill>
    <fill>
      <patternFill patternType="solid">
        <fgColor rgb="00F8DCDD"/>
      </patternFill>
    </fill>
    <fill>
      <patternFill patternType="solid">
        <fgColor rgb="00FCECC9"/>
      </patternFill>
    </fill>
    <fill>
      <patternFill patternType="solid">
        <fgColor rgb="00D9F0EF"/>
      </patternFill>
    </fill>
    <fill>
      <patternFill patternType="solid">
        <fgColor rgb="00DCEAF7"/>
      </patternFill>
    </fill>
  </fills>
  <borders count="2">
    <border>
      <left/>
      <right/>
      <top/>
      <bottom/>
      <diagonal/>
    </border>
    <border>
      <left style="thin">
        <color rgb="00D9E0E8"/>
      </left>
      <right style="thin">
        <color rgb="00D9E0E8"/>
      </right>
      <top style="thin">
        <color rgb="00D9E0E8"/>
      </top>
      <bottom style="thin">
        <color rgb="00D9E0E8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0" pivotButton="0" quotePrefix="0" xfId="0"/>
    <xf numFmtId="0" fontId="5" fillId="9" borderId="0" pivotButton="0" quotePrefix="0" xfId="0"/>
    <xf numFmtId="0" fontId="5" fillId="1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2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165" fontId="6" fillId="4" borderId="1" applyAlignment="1" pivotButton="0" quotePrefix="0" xfId="0">
      <alignment vertical="center"/>
    </xf>
    <xf numFmtId="0" fontId="5" fillId="10" borderId="1" applyAlignment="1" pivotButton="0" quotePrefix="0" xfId="0">
      <alignment vertical="center" wrapText="1"/>
    </xf>
    <xf numFmtId="0" fontId="6" fillId="6" borderId="1" pivotButton="0" quotePrefix="0" xfId="0"/>
    <xf numFmtId="0" fontId="6" fillId="5" borderId="1" pivotButton="0" quotePrefix="0" xfId="0"/>
    <xf numFmtId="0" fontId="6" fillId="4" borderId="1" pivotButton="0" quotePrefix="0" xfId="0"/>
    <xf numFmtId="166" fontId="6" fillId="4" borderId="1" pivotButton="0" quotePrefix="0" xfId="0"/>
    <xf numFmtId="4" fontId="6" fillId="4" borderId="1" pivotButton="0" quotePrefix="0" xfId="0"/>
    <xf numFmtId="4" fontId="6" fillId="5" borderId="1" pivotButton="0" quotePrefix="0" xfId="0"/>
    <xf numFmtId="165" fontId="6" fillId="4" borderId="1" pivotButton="0" quotePrefix="0" xfId="0"/>
    <xf numFmtId="0" fontId="6" fillId="3" borderId="1" pivotButton="0" quotePrefix="0" xfId="0"/>
    <xf numFmtId="166" fontId="6" fillId="5" borderId="1" pivotButton="0" quotePrefix="0" xfId="0"/>
    <xf numFmtId="169" fontId="6" fillId="5" borderId="1" pivotButton="0" quotePrefix="0" xfId="0"/>
    <xf numFmtId="166" fontId="6" fillId="6" borderId="1" pivotButton="0" quotePrefix="0" xfId="0"/>
    <xf numFmtId="0" fontId="9" fillId="2" borderId="1" pivotButton="0" quotePrefix="0" xfId="0"/>
    <xf numFmtId="0" fontId="9" fillId="5" borderId="1" pivotButton="0" quotePrefix="0" xfId="0"/>
    <xf numFmtId="165" fontId="6" fillId="5" borderId="1" pivotButton="0" quotePrefix="0" xfId="0"/>
    <xf numFmtId="168" fontId="6" fillId="5" borderId="1" pivotButton="0" quotePrefix="0" xfId="0"/>
    <xf numFmtId="165" fontId="6" fillId="6" borderId="1" pivotButton="0" quotePrefix="0" xfId="0"/>
    <xf numFmtId="0" fontId="9" fillId="6" borderId="1" pivotButton="0" quotePrefix="0" xfId="0"/>
    <xf numFmtId="166" fontId="6" fillId="9" borderId="1" pivotButton="0" quotePrefix="0" xfId="0"/>
    <xf numFmtId="0" fontId="6" fillId="9" borderId="1" pivotButton="0" quotePrefix="0" xfId="0"/>
    <xf numFmtId="4" fontId="6" fillId="6" borderId="1" pivotButton="0" quotePrefix="0" xfId="0"/>
    <xf numFmtId="168" fontId="6" fillId="4" borderId="1" pivotButton="0" quotePrefix="0" xfId="0"/>
    <xf numFmtId="0" fontId="6" fillId="2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E2F0E8"/>
        </patternFill>
      </fill>
    </dxf>
    <dxf>
      <fill>
        <patternFill patternType="solid">
          <fgColor rgb="00FCECC9"/>
        </patternFill>
      </fill>
    </dxf>
    <dxf>
      <fill>
        <patternFill patternType="solid">
          <fgColor rgb="00F8DC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ables/table1.xml><?xml version="1.0" encoding="utf-8"?>
<table xmlns="http://schemas.openxmlformats.org/spreadsheetml/2006/main" id="1" name="tblPoHeaderRegister" displayName="tblPoHeaderRegister" ref="A4:L6" headerRowCount="1">
  <autoFilter ref="A4:L6"/>
  <tableColumns count="12">
    <tableColumn id="1" name="PO No"/>
    <tableColumn id="2" name="PO Date"/>
    <tableColumn id="3" name="Supplier ID"/>
    <tableColumn id="4" name="Supplier Name"/>
    <tableColumn id="5" name="Delivery By"/>
    <tableColumn id="6" name="Pay Days"/>
    <tableColumn id="7" name="Delivery Location"/>
    <tableColumn id="8" name="Approved By"/>
    <tableColumn id="9" name="PO Status"/>
    <tableColumn id="10" name="Posted At"/>
    <tableColumn id="11" name="Posted By"/>
    <tableColumn id="12" name="Entry Source"/>
  </tableColumns>
  <tableStyleInfo name="TableStyleLight1" showRowStripes="0"/>
</table>
</file>

<file path=xl/tables/table2.xml><?xml version="1.0" encoding="utf-8"?>
<table xmlns="http://schemas.openxmlformats.org/spreadsheetml/2006/main" id="2" name="tblPoLineRegister" displayName="tblPoLineRegister" ref="A4:M7" headerRowCount="1">
  <autoFilter ref="A4:M7"/>
  <tableColumns count="13">
    <tableColumn id="1" name="PO Line ID"/>
    <tableColumn id="2" name="PO No"/>
    <tableColumn id="3" name="Item ID"/>
    <tableColumn id="4" name="Grade"/>
    <tableColumn id="5" name="Thk mm"/>
    <tableColumn id="6" name="L mm"/>
    <tableColumn id="7" name="W mm"/>
    <tableColumn id="8" name="Ordered kg"/>
    <tableColumn id="9" name="Unit"/>
    <tableColumn id="10" name="Rate Rs"/>
    <tableColumn id="11" name="Line Value Rs"/>
    <tableColumn id="12" name="Due Date"/>
    <tableColumn id="13" name="Posted At"/>
  </tableColumns>
  <tableStyleInfo name="TableStyleLight1" showRowStripes="0"/>
</table>
</file>

<file path=xl/tables/table3.xml><?xml version="1.0" encoding="utf-8"?>
<table xmlns="http://schemas.openxmlformats.org/spreadsheetml/2006/main" id="3" name="tblGrnRegister" displayName="tblGrnRegister" ref="A4:V9" headerRowCount="1">
  <autoFilter ref="A4:V9"/>
  <tableColumns count="22">
    <tableColumn id="1" name="Lot ID"/>
    <tableColumn id="2" name="GRN Date"/>
    <tableColumn id="3" name="Supplier ID"/>
    <tableColumn id="4" name="Supplier Inv No"/>
    <tableColumn id="5" name="Invoice Date"/>
    <tableColumn id="6" name="PO Line ID"/>
    <tableColumn id="7" name="Material ID"/>
    <tableColumn id="8" name="Grade Code"/>
    <tableColumn id="9" name="Thk mm"/>
    <tableColumn id="10" name="L mm"/>
    <tableColumn id="11" name="W mm"/>
    <tableColumn id="12" name="Form"/>
    <tableColumn id="13" name="Sheets"/>
    <tableColumn id="14" name="Received kg"/>
    <tableColumn id="15" name="Theo kg"/>
    <tableColumn id="16" name="Theo Var %"/>
    <tableColumn id="17" name="Bill Rate Rs"/>
    <tableColumn id="18" name="PO Rate Rs"/>
    <tableColumn id="19" name="Excess kg"/>
    <tableColumn id="20" name="Lot Value Rs"/>
    <tableColumn id="21" name="Posted At"/>
    <tableColumn id="22" name="Entry Source"/>
  </tableColumns>
  <tableStyleInfo name="TableStyleLight1" showRowStripes="0"/>
</table>
</file>

<file path=xl/tables/table4.xml><?xml version="1.0" encoding="utf-8"?>
<table xmlns="http://schemas.openxmlformats.org/spreadsheetml/2006/main" id="4" name="tblLotQcRegister" displayName="tblLotQcRegister" ref="A4:K9" headerRowCount="1">
  <autoFilter ref="A4:K9"/>
  <tableColumns count="11">
    <tableColumn id="1" name="QC Event ID"/>
    <tableColumn id="2" name="Lot ID"/>
    <tableColumn id="3" name="QC Date"/>
    <tableColumn id="4" name="QC Status"/>
    <tableColumn id="5" name="Rejected kg"/>
    <tableColumn id="6" name="Rejected Sheets"/>
    <tableColumn id="7" name="Excess Decision"/>
    <tableColumn id="8" name="Decided By"/>
    <tableColumn id="9" name="Accepted kg"/>
    <tableColumn id="10" name="Accepted Sheets"/>
    <tableColumn id="11" name="Posted At"/>
  </tableColumns>
  <tableStyleInfo name="TableStyleLight1" showRowStripes="0"/>
</table>
</file>

<file path=xl/tables/table5.xml><?xml version="1.0" encoding="utf-8"?>
<table xmlns="http://schemas.openxmlformats.org/spreadsheetml/2006/main" id="5" name="tblRmMoveRegister" displayName="tblRmMoveRegister" ref="A4:S8" headerRowCount="1">
  <autoFilter ref="A4:S8"/>
  <tableColumns count="19">
    <tableColumn id="1" name="Move ID"/>
    <tableColumn id="2" name="Move Date"/>
    <tableColumn id="3" name="Movement"/>
    <tableColumn id="4" name="Batch ID"/>
    <tableColumn id="5" name="Material ID"/>
    <tableColumn id="6" name="Lot ID"/>
    <tableColumn id="7" name="Form"/>
    <tableColumn id="8" name="Sheets"/>
    <tableColumn id="9" name="Weight kg"/>
    <tableColumn id="10" name="Stock Effect kg"/>
    <tableColumn id="11" name="Stock Effect Sh"/>
    <tableColumn id="12" name="Rate Rs"/>
    <tableColumn id="13" name="Value Rs"/>
    <tableColumn id="14" name="Machine ID"/>
    <tableColumn id="15" name="Issued To"/>
    <tableColumn id="16" name="Purpose"/>
    <tableColumn id="17" name="Avail kg Before"/>
    <tableColumn id="18" name="Posted At"/>
    <tableColumn id="19" name="Reverses ID"/>
  </tableColumns>
  <tableStyleInfo name="TableStyleLight1" showRowStripes="0"/>
</table>
</file>

<file path=xl/tables/table6.xml><?xml version="1.0" encoding="utf-8"?>
<table xmlns="http://schemas.openxmlformats.org/spreadsheetml/2006/main" id="6" name="tblConsReceiptRegister" displayName="tblConsReceiptRegister" ref="A4:J8" headerRowCount="1">
  <autoFilter ref="A4:J8"/>
  <tableColumns count="10">
    <tableColumn id="1" name="Receipt ID"/>
    <tableColumn id="2" name="Receipt Date"/>
    <tableColumn id="3" name="Item ID"/>
    <tableColumn id="4" name="Qty"/>
    <tableColumn id="5" name="Bill Rate Rs"/>
    <tableColumn id="6" name="Value Rs"/>
    <tableColumn id="7" name="Receipt Type"/>
    <tableColumn id="8" name="Supplier ID"/>
    <tableColumn id="9" name="Bill No"/>
    <tableColumn id="10" name="Posted At"/>
  </tableColumns>
  <tableStyleInfo name="TableStyleLight1" showRowStripes="0"/>
</table>
</file>

<file path=xl/tables/table7.xml><?xml version="1.0" encoding="utf-8"?>
<table xmlns="http://schemas.openxmlformats.org/spreadsheetml/2006/main" id="7" name="tblConsIssueRegister" displayName="tblConsIssueRegister" ref="A4:K7" headerRowCount="1">
  <autoFilter ref="A4:K7"/>
  <tableColumns count="11">
    <tableColumn id="1" name="Cons Move ID"/>
    <tableColumn id="2" name="Move Date"/>
    <tableColumn id="3" name="Movement"/>
    <tableColumn id="4" name="Item ID"/>
    <tableColumn id="5" name="Qty"/>
    <tableColumn id="6" name="Stock Effect"/>
    <tableColumn id="7" name="Rate Rs"/>
    <tableColumn id="8" name="Value Rs"/>
    <tableColumn id="9" name="Issued To"/>
    <tableColumn id="10" name="Where Used"/>
    <tableColumn id="11" name="Posted At"/>
  </tableColumns>
  <tableStyleInfo name="TableStyleLight1" showRowStripes="0"/>
</table>
</file>

<file path=xl/tables/table8.xml><?xml version="1.0" encoding="utf-8"?>
<table xmlns="http://schemas.openxmlformats.org/spreadsheetml/2006/main" id="8" name="tblAdjustRegister" displayName="tblAdjustRegister" ref="A4:N5" headerRowCount="1">
  <autoFilter ref="A4:N5"/>
  <tableColumns count="14">
    <tableColumn id="1" name="Adj ID"/>
    <tableColumn id="2" name="Adj Date"/>
    <tableColumn id="3" name="Stock Type"/>
    <tableColumn id="4" name="Lot / Item ID"/>
    <tableColumn id="5" name="Direction"/>
    <tableColumn id="6" name="Adj kg / Qty"/>
    <tableColumn id="7" name="Signed kg"/>
    <tableColumn id="8" name="Rate Rs"/>
    <tableColumn id="9" name="Value Rs"/>
    <tableColumn id="10" name="Reason Code"/>
    <tableColumn id="11" name="Reference"/>
    <tableColumn id="12" name="Requested By"/>
    <tableColumn id="13" name="Approved By"/>
    <tableColumn id="14" name="Posted At"/>
  </tableColumns>
  <tableStyleInfo name="TableStyleLight1" showRowStripes="0"/>
</table>
</file>

<file path=xl/tables/table9.xml><?xml version="1.0" encoding="utf-8"?>
<table xmlns="http://schemas.openxmlformats.org/spreadsheetml/2006/main" id="9" name="tblPoStatus" displayName="tblPoStatus" ref="A4:I7" headerRowCount="1">
  <autoFilter ref="A4:I7"/>
  <tableColumns count="9">
    <tableColumn id="1" name="PO Line ID"/>
    <tableColumn id="2" name="Supplier ID"/>
    <tableColumn id="3" name="Item ID"/>
    <tableColumn id="4" name="Ordered kg"/>
    <tableColumn id="5" name="Received kg"/>
    <tableColumn id="6" name="Pending kg"/>
    <tableColumn id="7" name="Due Date"/>
    <tableColumn id="8" name="Overdue Days"/>
    <tableColumn id="9" name="Status"/>
  </tableColumns>
  <tableStyleInfo name="TableStyleLight1" showRowStripes="0"/>
</table>
</file>

<file path=xl/tables/table10.xml><?xml version="1.0" encoding="utf-8"?>
<table xmlns="http://schemas.openxmlformats.org/spreadsheetml/2006/main" id="10" name="tblLotBalance" displayName="tblLotBalance" ref="A4:P9" headerRowCount="1">
  <autoFilter ref="A4:P9"/>
  <tableColumns count="16">
    <tableColumn id="1" name="Lot ID"/>
    <tableColumn id="2" name="Material ID"/>
    <tableColumn id="3" name="GRN Date"/>
    <tableColumn id="4" name="QC Status"/>
    <tableColumn id="5" name="Issue Eligible"/>
    <tableColumn id="6" name="Accepted kg"/>
    <tableColumn id="7" name="Accepted Sh"/>
    <tableColumn id="8" name="Movement kg"/>
    <tableColumn id="9" name="Movement Sh"/>
    <tableColumn id="10" name="Adjust kg"/>
    <tableColumn id="11" name="Available kg"/>
    <tableColumn id="12" name="Available Sh"/>
    <tableColumn id="13" name="Rate Rs"/>
    <tableColumn id="14" name="Value Rs"/>
    <tableColumn id="15" name="Age Days"/>
    <tableColumn id="16" name="Status"/>
  </tableColumns>
  <tableStyleInfo name="TableStyleLight1" showRowStripes="0"/>
</table>
</file>

<file path=xl/tables/table11.xml><?xml version="1.0" encoding="utf-8"?>
<table xmlns="http://schemas.openxmlformats.org/spreadsheetml/2006/main" id="11" name="tblConsBalance" displayName="tblConsBalance" ref="A4:K8" headerRowCount="1">
  <autoFilter ref="A4:K8"/>
  <tableColumns count="11">
    <tableColumn id="1" name="Item ID"/>
    <tableColumn id="2" name="Item Name"/>
    <tableColumn id="3" name="Unit"/>
    <tableColumn id="4" name="Received"/>
    <tableColumn id="5" name="Net Issued"/>
    <tableColumn id="6" name="Adjusted"/>
    <tableColumn id="7" name="Balance"/>
    <tableColumn id="8" name="Avg Rate Rs"/>
    <tableColumn id="9" name="Value Rs"/>
    <tableColumn id="10" name="Min Level"/>
    <tableColumn id="11" name="Status"/>
  </tableColumns>
  <tableStyleInfo name="TableStyleLight1" showRowStripes="0"/>
</table>
</file>

<file path=xl/tables/table12.xml><?xml version="1.0" encoding="utf-8"?>
<table xmlns="http://schemas.openxmlformats.org/spreadsheetml/2006/main" id="12" name="tblMMaterial" displayName="tblMMaterial" ref="A4:I8" headerRowCount="1">
  <autoFilter ref="A4:I8"/>
  <tableColumns count="9">
    <tableColumn id="1" name="Material ID"/>
    <tableColumn id="2" name="Grade Code"/>
    <tableColumn id="3" name="Grade"/>
    <tableColumn id="4" name="Thk mm"/>
    <tableColumn id="5" name="Std L mm"/>
    <tableColumn id="6" name="Std W mm"/>
    <tableColumn id="7" name="Std Sheet kg"/>
    <tableColumn id="8" name="Min Level kg"/>
    <tableColumn id="9" name="Active"/>
  </tableColumns>
  <tableStyleInfo name="TableStyleLight1" showRowStripes="0"/>
</table>
</file>

<file path=xl/tables/table13.xml><?xml version="1.0" encoding="utf-8"?>
<table xmlns="http://schemas.openxmlformats.org/spreadsheetml/2006/main" id="13" name="tblMGrade" displayName="tblMGrade" ref="A4:C8" headerRowCount="1">
  <autoFilter ref="A4:C8"/>
  <tableColumns count="3">
    <tableColumn id="1" name="Grade Code"/>
    <tableColumn id="2" name="Grade"/>
    <tableColumn id="3" name="Description"/>
  </tableColumns>
  <tableStyleInfo name="TableStyleLight1" showRowStripes="0"/>
</table>
</file>

<file path=xl/tables/table14.xml><?xml version="1.0" encoding="utf-8"?>
<table xmlns="http://schemas.openxmlformats.org/spreadsheetml/2006/main" id="14" name="tblMSupplier" displayName="tblMSupplier" ref="A4:H7" headerRowCount="1">
  <autoFilter ref="A4:H7"/>
  <tableColumns count="8">
    <tableColumn id="1" name="Supplier ID"/>
    <tableColumn id="2" name="Supplier Name"/>
    <tableColumn id="3" name="Supplies"/>
    <tableColumn id="4" name="GSTIN"/>
    <tableColumn id="5" name="Pay Days"/>
    <tableColumn id="6" name="Tally Ledger"/>
    <tableColumn id="7" name="Email (reference)"/>
    <tableColumn id="8" name="Active"/>
  </tableColumns>
  <tableStyleInfo name="TableStyleLight1" showRowStripes="0"/>
</table>
</file>

<file path=xl/tables/table15.xml><?xml version="1.0" encoding="utf-8"?>
<table xmlns="http://schemas.openxmlformats.org/spreadsheetml/2006/main" id="15" name="tblMConsumable" displayName="tblMConsumable" ref="A4:F8" headerRowCount="1">
  <autoFilter ref="A4:F8"/>
  <tableColumns count="6">
    <tableColumn id="1" name="Item ID"/>
    <tableColumn id="2" name="Item Name"/>
    <tableColumn id="3" name="Category"/>
    <tableColumn id="4" name="Unit"/>
    <tableColumn id="5" name="Min Level"/>
    <tableColumn id="6" name="Active"/>
  </tableColumns>
  <tableStyleInfo name="TableStyleLight1" showRowStripes="0"/>
</table>
</file>

<file path=xl/tables/table16.xml><?xml version="1.0" encoding="utf-8"?>
<table xmlns="http://schemas.openxmlformats.org/spreadsheetml/2006/main" id="16" name="tblMReason" displayName="tblMReason" ref="A4:C11" headerRowCount="1">
  <autoFilter ref="A4:C11"/>
  <tableColumns count="3">
    <tableColumn id="1" name="Code"/>
    <tableColumn id="2" name="Reason"/>
    <tableColumn id="3" name="Used For"/>
  </tableColumns>
  <tableStyleInfo name="TableStyleLight1" showRowStripes="0"/>
</table>
</file>

<file path=xl/tables/table17.xml><?xml version="1.0" encoding="utf-8"?>
<table xmlns="http://schemas.openxmlformats.org/spreadsheetml/2006/main" id="17" name="tblMWhereused" displayName="tblMWhereused" ref="A4:B8" headerRowCount="1">
  <autoFilter ref="A4:B8"/>
  <tableColumns count="2">
    <tableColumn id="1" name="Where Used"/>
    <tableColumn id="2" name="Type"/>
  </tableColumns>
  <tableStyleInfo name="TableStyleLight1" showRowStripes="0"/>
</table>
</file>

<file path=xl/tables/table18.xml><?xml version="1.0" encoding="utf-8"?>
<table xmlns="http://schemas.openxmlformats.org/spreadsheetml/2006/main" id="18" name="tblXProduct" displayName="tblXProduct" ref="A4:E7" headerRowCount="1">
  <autoFilter ref="A4:E7"/>
  <tableColumns count="5">
    <tableColumn id="1" name="Product ID"/>
    <tableColumn id="2" name="Product Name"/>
    <tableColumn id="3" name="Customer ID"/>
    <tableColumn id="4" name="Active"/>
    <tableColumn id="5" name="Run ID"/>
  </tableColumns>
  <tableStyleInfo name="TableStyleLight1" showRowStripes="0"/>
</table>
</file>

<file path=xl/tables/table19.xml><?xml version="1.0" encoding="utf-8"?>
<table xmlns="http://schemas.openxmlformats.org/spreadsheetml/2006/main" id="19" name="tblXMachine" displayName="tblXMachine" ref="A4:D9" headerRowCount="1">
  <autoFilter ref="A4:D9"/>
  <tableColumns count="4">
    <tableColumn id="1" name="Machine ID"/>
    <tableColumn id="2" name="Machine"/>
    <tableColumn id="3" name="Process"/>
    <tableColumn id="4" name="Active"/>
  </tableColumns>
  <tableStyleInfo name="TableStyleLight1" showRowStripes="0"/>
</table>
</file>

<file path=xl/tables/table20.xml><?xml version="1.0" encoding="utf-8"?>
<table xmlns="http://schemas.openxmlformats.org/spreadsheetml/2006/main" id="20" name="tblXPeople" displayName="tblXPeople" ref="A4:D9" headerRowCount="1">
  <autoFilter ref="A4:D9"/>
  <tableColumns count="4">
    <tableColumn id="1" name="Person ID"/>
    <tableColumn id="2" name="Name (masked)"/>
    <tableColumn id="3" name="Role"/>
    <tableColumn id="4" name="Active"/>
  </tableColumns>
  <tableStyleInfo name="TableStyleLight1" showRowStripes="0"/>
</table>
</file>

<file path=xl/tables/table21.xml><?xml version="1.0" encoding="utf-8"?>
<table xmlns="http://schemas.openxmlformats.org/spreadsheetml/2006/main" id="21" name="tblPostingLog" displayName="tblPostingLog" ref="A4:G6" headerRowCount="1">
  <autoFilter ref="A4:G6"/>
  <tableColumns count="7">
    <tableColumn id="1" name="Posted At"/>
    <tableColumn id="2" name="Register"/>
    <tableColumn id="3" name="Rows Posted"/>
    <tableColumn id="4" name="Pad Total kg / Qty"/>
    <tableColumn id="5" name="Register Total After"/>
    <tableColumn id="6" name="Posted By"/>
    <tableColumn id="7" name="Method"/>
  </tableColumns>
  <tableStyleInfo name="TableStyleLight1" showRowStripes="0"/>
</table>
</file>

<file path=xl/tables/table22.xml><?xml version="1.0" encoding="utf-8"?>
<table xmlns="http://schemas.openxmlformats.org/spreadsheetml/2006/main" id="22" name="tblControlTotals" displayName="tblControlTotals" ref="A4:D8" headerRowCount="1">
  <autoFilter ref="A4:D8"/>
  <tableColumns count="4">
    <tableColumn id="1" name="Register"/>
    <tableColumn id="2" name="Rows"/>
    <tableColumn id="3" name="Total kg / Qty"/>
    <tableColumn id="4" name="Total Value Rs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1 ISKO STORES FY2027-28 - purchase, receipt, QC, RM and consumable stock</t>
        </is>
      </c>
    </row>
    <row r="2">
      <c r="A2" s="2" t="inlineStr">
        <is>
          <t>PROTOTYPE - sample / masked data - layout of the target design, not the live ERP</t>
        </is>
      </c>
    </row>
    <row r="4">
      <c r="A4" s="3" t="inlineStr">
        <is>
          <t>Daily routine</t>
        </is>
      </c>
      <c r="B4" s="4" t="inlineStr"/>
    </row>
    <row r="5">
      <c r="A5" s="5" t="inlineStr">
        <is>
          <t>Morning</t>
        </is>
      </c>
      <c r="B5" s="4" t="inlineStr">
        <is>
          <t>Refresh All (X_Product, X_Machine, X_People). Check Lot Balance status = OK.</t>
        </is>
      </c>
    </row>
    <row r="6">
      <c r="A6" s="5" t="inlineStr">
        <is>
          <t>Through the day</t>
        </is>
      </c>
      <c r="B6" s="4" t="inlineStr">
        <is>
          <t>Type in the Entry sheets only. Post rows that read READY (macro button, or Copy &gt; Paste Values into the Register).</t>
        </is>
      </c>
    </row>
    <row r="7">
      <c r="A7" s="5" t="inlineStr">
        <is>
          <t>After posting</t>
        </is>
      </c>
      <c r="B7" s="4" t="inlineStr">
        <is>
          <t>Refresh All so Lot Balance / Consumable Balance include the new rows. Enter the posted totals in Posting Log.</t>
        </is>
      </c>
    </row>
    <row r="8">
      <c r="A8" s="5" t="inlineStr">
        <is>
          <t>End of day</t>
        </is>
      </c>
      <c r="B8" s="4" t="inlineStr">
        <is>
          <t>Save, back up (dated copy), Control Totals checked.</t>
        </is>
      </c>
    </row>
    <row r="9">
      <c r="A9" s="5" t="inlineStr">
        <is>
          <t>Never</t>
        </is>
      </c>
      <c r="B9" s="4" t="inlineStr">
        <is>
          <t>Edit or delete a register row - post a reversal row instead.</t>
        </is>
      </c>
    </row>
    <row r="12">
      <c r="A12" s="6" t="inlineStr">
        <is>
          <t>Cell colours</t>
        </is>
      </c>
      <c r="B12" s="7" t="inlineStr"/>
    </row>
    <row r="13">
      <c r="A13" s="8" t="inlineStr">
        <is>
          <t>Cream</t>
        </is>
      </c>
      <c r="B13" s="7" t="inlineStr">
        <is>
          <t>you type or pick here</t>
        </is>
      </c>
    </row>
    <row r="14">
      <c r="A14" s="9" t="inlineStr">
        <is>
          <t>Mint</t>
        </is>
      </c>
      <c r="B14" s="7" t="inlineStr">
        <is>
          <t>calculated / snapshot - posted as value</t>
        </is>
      </c>
    </row>
    <row r="15">
      <c r="A15" s="10" t="inlineStr">
        <is>
          <t>Light grey</t>
        </is>
      </c>
      <c r="B15" s="7" t="inlineStr">
        <is>
          <t>lookup shown for information</t>
        </is>
      </c>
    </row>
    <row r="16">
      <c r="A16" s="11" t="inlineStr">
        <is>
          <t>Coral</t>
        </is>
      </c>
      <c r="B16" s="7" t="inlineStr">
        <is>
          <t>hard stop - row cannot be posted</t>
        </is>
      </c>
    </row>
    <row r="17">
      <c r="A17" s="12" t="inlineStr">
        <is>
          <t>Amber</t>
        </is>
      </c>
      <c r="B17" s="7" t="inlineStr">
        <is>
          <t>warning - post only with an authorised reason</t>
        </is>
      </c>
    </row>
    <row r="18">
      <c r="A18" s="13" t="inlineStr">
        <is>
          <t>Teal</t>
        </is>
      </c>
      <c r="B18" s="7" t="inlineStr">
        <is>
          <t>totals</t>
        </is>
      </c>
    </row>
    <row r="19">
      <c r="A19" s="14" t="inlineStr">
        <is>
          <t>Blue</t>
        </is>
      </c>
      <c r="B19" s="7" t="inlineStr">
        <is>
          <t>column headers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1" zoomScale="9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8" customWidth="1" min="4" max="4"/>
    <col width="11" customWidth="1" min="5" max="5"/>
    <col width="7" customWidth="1" min="6" max="6"/>
    <col width="11" customWidth="1" min="7" max="7"/>
    <col width="10" customWidth="1" min="8" max="8"/>
    <col width="14" customWidth="1" min="9" max="9"/>
    <col width="8" customWidth="1" min="10" max="10"/>
    <col width="12" customWidth="1" min="11" max="11"/>
    <col width="10" customWidth="1" min="12" max="12"/>
    <col width="30" customWidth="1" min="13" max="13"/>
  </cols>
  <sheetData>
    <row r="1">
      <c r="A1" s="15" t="inlineStr">
        <is>
          <t>PO ENTRY PAD - one PO at a time</t>
        </is>
      </c>
    </row>
    <row r="2">
      <c r="A2" s="16" t="inlineStr">
        <is>
          <t>Fill the header, then the lines. Post when every line reads READY. No requisition is needed.</t>
        </is>
      </c>
    </row>
    <row r="3">
      <c r="A3" s="17" t="inlineStr">
        <is>
          <t>PO No</t>
        </is>
      </c>
      <c r="B3" s="18">
        <f>"PO/27-28/"&amp;TEXT(COUNTA('PO Header Register'!$A$5:$A$400)+1,"000")</f>
        <v/>
      </c>
      <c r="C3" s="17" t="inlineStr">
        <is>
          <t>Supplier</t>
        </is>
      </c>
      <c r="D3" s="19" t="inlineStr">
        <is>
          <t>SUP-0007</t>
        </is>
      </c>
      <c r="E3" s="17" t="inlineStr">
        <is>
          <t>Name</t>
        </is>
      </c>
      <c r="F3" s="18">
        <f>IFERROR(INDEX('M_Supplier'!$B$5:$B$50,MATCH(D3,'M_Supplier'!$A$5:$A$50,0)),"")</f>
        <v/>
      </c>
      <c r="G3" s="17" t="inlineStr">
        <is>
          <t>Pay days</t>
        </is>
      </c>
      <c r="H3" s="18">
        <f>IFERROR(INDEX('M_Supplier'!$E$5:$E$50,MATCH(D3,'M_Supplier'!$A$5:$A$50,0)),"")</f>
        <v/>
      </c>
      <c r="I3" s="17" t="inlineStr">
        <is>
          <t>Approved by</t>
        </is>
      </c>
      <c r="J3" s="19" t="inlineStr">
        <is>
          <t>PER-018</t>
        </is>
      </c>
    </row>
    <row r="4">
      <c r="A4" s="17" t="inlineStr">
        <is>
          <t>PO Date</t>
        </is>
      </c>
      <c r="B4" s="20" t="n">
        <v>46492</v>
      </c>
      <c r="C4" s="17" t="inlineStr">
        <is>
          <t>Delivery by</t>
        </is>
      </c>
      <c r="D4" s="20" t="n">
        <v>46502</v>
      </c>
      <c r="E4" s="17" t="inlineStr">
        <is>
          <t>Location</t>
        </is>
      </c>
      <c r="F4" s="19" t="inlineStr">
        <is>
          <t>ISKO Factory</t>
        </is>
      </c>
    </row>
    <row r="6" ht="30" customHeight="1">
      <c r="A6" s="21" t="inlineStr">
        <is>
          <t>Line</t>
        </is>
      </c>
      <c r="B6" s="21" t="inlineStr">
        <is>
          <t>PO Line ID</t>
        </is>
      </c>
      <c r="C6" s="21" t="inlineStr">
        <is>
          <t>Item ID</t>
        </is>
      </c>
      <c r="D6" s="21" t="inlineStr">
        <is>
          <t>Grade</t>
        </is>
      </c>
      <c r="E6" s="21" t="inlineStr">
        <is>
          <t>Thk mm</t>
        </is>
      </c>
      <c r="F6" s="21" t="inlineStr">
        <is>
          <t>L mm</t>
        </is>
      </c>
      <c r="G6" s="21" t="inlineStr">
        <is>
          <t>W mm</t>
        </is>
      </c>
      <c r="H6" s="21" t="inlineStr">
        <is>
          <t>Ordered kg</t>
        </is>
      </c>
      <c r="I6" s="21" t="inlineStr">
        <is>
          <t>Unit</t>
        </is>
      </c>
      <c r="J6" s="21" t="inlineStr">
        <is>
          <t>Rate Rs</t>
        </is>
      </c>
      <c r="K6" s="21" t="inlineStr">
        <is>
          <t>Line Value Rs</t>
        </is>
      </c>
      <c r="L6" s="21" t="inlineStr">
        <is>
          <t>Due Date</t>
        </is>
      </c>
      <c r="M6" s="21" t="inlineStr">
        <is>
          <t>Ready / issues</t>
        </is>
      </c>
    </row>
    <row r="7">
      <c r="A7" s="22" t="n">
        <v>1</v>
      </c>
      <c r="B7" s="23">
        <f>IF(C7="","",$B$3&amp;"-"&amp;TEXT(A7,"00"))</f>
        <v/>
      </c>
      <c r="C7" s="24" t="inlineStr">
        <is>
          <t>GPSP-1.6</t>
        </is>
      </c>
      <c r="D7" s="23">
        <f>IF(C7="","",IFERROR(INDEX('M_Material'!$C$5:$C$50,MATCH(C7,'M_Material'!$A$5:$A$50,0)),"?"))</f>
        <v/>
      </c>
      <c r="E7" s="23">
        <f>IF(C7="","",IFERROR(INDEX('M_Material'!$D$5:$D$50,MATCH(C7,'M_Material'!$A$5:$A$50,0)),""))</f>
        <v/>
      </c>
      <c r="F7" s="24" t="n">
        <v>2500</v>
      </c>
      <c r="G7" s="24" t="n">
        <v>1250</v>
      </c>
      <c r="H7" s="25" t="n">
        <v>2000</v>
      </c>
      <c r="I7" s="23">
        <f>IF(C7="","","KGS")</f>
        <v/>
      </c>
      <c r="J7" s="26" t="n">
        <v>74.5</v>
      </c>
      <c r="K7" s="27">
        <f>IF(H7="","",ROUND(H7*J7,2))</f>
        <v/>
      </c>
      <c r="L7" s="28" t="n">
        <v>46502</v>
      </c>
      <c r="M7" s="29">
        <f>IF(C7="","",IF(D7="?","ITEM NOT IN MASTER",IF(N(H7)&lt;=0,"QTY REQUIRED",IF(N(J7)&lt;=0,"RATE REQUIRED",IF(L7&lt;$B$4,"WARN: DUE BEFORE PO DATE","READY")))))</f>
        <v/>
      </c>
    </row>
    <row r="8">
      <c r="A8" s="22" t="n">
        <v>2</v>
      </c>
      <c r="B8" s="23">
        <f>IF(C8="","",$B$3&amp;"-"&amp;TEXT(A8,"00"))</f>
        <v/>
      </c>
      <c r="C8" s="24" t="inlineStr">
        <is>
          <t>HRCA-2.0</t>
        </is>
      </c>
      <c r="D8" s="23">
        <f>IF(C8="","",IFERROR(INDEX('M_Material'!$C$5:$C$50,MATCH(C8,'M_Material'!$A$5:$A$50,0)),"?"))</f>
        <v/>
      </c>
      <c r="E8" s="23">
        <f>IF(C8="","",IFERROR(INDEX('M_Material'!$D$5:$D$50,MATCH(C8,'M_Material'!$A$5:$A$50,0)),""))</f>
        <v/>
      </c>
      <c r="F8" s="24" t="n">
        <v>2500</v>
      </c>
      <c r="G8" s="24" t="n">
        <v>1250</v>
      </c>
      <c r="H8" s="25" t="n">
        <v>800</v>
      </c>
      <c r="I8" s="23">
        <f>IF(C8="","","KGS")</f>
        <v/>
      </c>
      <c r="J8" s="26" t="n"/>
      <c r="K8" s="27">
        <f>IF(H8="","",ROUND(H8*J8,2))</f>
        <v/>
      </c>
      <c r="L8" s="28" t="n">
        <v>46502</v>
      </c>
      <c r="M8" s="29">
        <f>IF(C8="","",IF(D8="?","ITEM NOT IN MASTER",IF(N(H8)&lt;=0,"QTY REQUIRED",IF(N(J8)&lt;=0,"RATE REQUIRED",IF(L8&lt;$B$4,"WARN: DUE BEFORE PO DATE","READY")))))</f>
        <v/>
      </c>
    </row>
    <row r="9">
      <c r="A9" s="22" t="n">
        <v>3</v>
      </c>
      <c r="B9" s="23">
        <f>IF(C9="","",$B$3&amp;"-"&amp;TEXT(A9,"00"))</f>
        <v/>
      </c>
      <c r="C9" s="24" t="inlineStr">
        <is>
          <t>GPSP-2.5</t>
        </is>
      </c>
      <c r="D9" s="23">
        <f>IF(C9="","",IFERROR(INDEX('M_Material'!$C$5:$C$50,MATCH(C9,'M_Material'!$A$5:$A$50,0)),"?"))</f>
        <v/>
      </c>
      <c r="E9" s="23">
        <f>IF(C9="","",IFERROR(INDEX('M_Material'!$D$5:$D$50,MATCH(C9,'M_Material'!$A$5:$A$50,0)),""))</f>
        <v/>
      </c>
      <c r="F9" s="24" t="n">
        <v>2500</v>
      </c>
      <c r="G9" s="24" t="n">
        <v>1250</v>
      </c>
      <c r="H9" s="25" t="n">
        <v>500</v>
      </c>
      <c r="I9" s="23">
        <f>IF(C9="","","KGS")</f>
        <v/>
      </c>
      <c r="J9" s="26" t="n">
        <v>75</v>
      </c>
      <c r="K9" s="27">
        <f>IF(H9="","",ROUND(H9*J9,2))</f>
        <v/>
      </c>
      <c r="L9" s="28" t="n">
        <v>46502</v>
      </c>
      <c r="M9" s="29">
        <f>IF(C9="","",IF(D9="?","ITEM NOT IN MASTER",IF(N(H9)&lt;=0,"QTY REQUIRED",IF(N(J9)&lt;=0,"RATE REQUIRED",IF(L9&lt;$B$4,"WARN: DUE BEFORE PO DATE","READY")))))</f>
        <v/>
      </c>
    </row>
    <row r="10">
      <c r="A10" s="22" t="n">
        <v>4</v>
      </c>
      <c r="B10" s="23">
        <f>IF(C10="","",$B$3&amp;"-"&amp;TEXT(A10,"00"))</f>
        <v/>
      </c>
      <c r="C10" s="24" t="inlineStr">
        <is>
          <t>CRCA-1.0</t>
        </is>
      </c>
      <c r="D10" s="23">
        <f>IF(C10="","",IFERROR(INDEX('M_Material'!$C$5:$C$50,MATCH(C10,'M_Material'!$A$5:$A$50,0)),"?"))</f>
        <v/>
      </c>
      <c r="E10" s="23">
        <f>IF(C10="","",IFERROR(INDEX('M_Material'!$D$5:$D$50,MATCH(C10,'M_Material'!$A$5:$A$50,0)),""))</f>
        <v/>
      </c>
      <c r="F10" s="24" t="n">
        <v>2500</v>
      </c>
      <c r="G10" s="24" t="n">
        <v>1250</v>
      </c>
      <c r="H10" s="25" t="n">
        <v>1000</v>
      </c>
      <c r="I10" s="23">
        <f>IF(C10="","","KGS")</f>
        <v/>
      </c>
      <c r="J10" s="26" t="n">
        <v>68.2</v>
      </c>
      <c r="K10" s="27">
        <f>IF(H10="","",ROUND(H10*J10,2))</f>
        <v/>
      </c>
      <c r="L10" s="28" t="n">
        <v>46478</v>
      </c>
      <c r="M10" s="29">
        <f>IF(C10="","",IF(D10="?","ITEM NOT IN MASTER",IF(N(H10)&lt;=0,"QTY REQUIRED",IF(N(J10)&lt;=0,"RATE REQUIRED",IF(L10&lt;$B$4,"WARN: DUE BEFORE PO DATE","READY")))))</f>
        <v/>
      </c>
    </row>
  </sheetData>
  <conditionalFormatting sqref="M7:M10">
    <cfRule type="expression" priority="1" dxfId="0" stopIfTrue="1">
      <formula>OR(LEFT(M7,5)="READY",M7="OK",LEFT(M7,6)="CLOSED")</formula>
    </cfRule>
    <cfRule type="expression" priority="2" dxfId="1" stopIfTrue="1">
      <formula>OR(LEFT(M7,4)="WARN",LEFT(M7,2)="IN",LEFT(M7,3)="NOT",LEFT(M7,7)="REORDER",LEFT(M7,5)="STALE",LEFT(M7,4)="PART",LEFT(M7,7)="PENDING",LEFT(M7,5)="READY")</formula>
    </cfRule>
    <cfRule type="expression" priority="3" dxfId="2">
      <formula>LEN(M7)&gt;0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showGridLines="1" zoomScale="90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11" customWidth="1" min="4" max="4"/>
    <col width="15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  <col width="7" customWidth="1" min="11" max="11"/>
    <col width="7" customWidth="1" min="12" max="12"/>
    <col width="10" customWidth="1" min="13" max="13"/>
    <col width="9" customWidth="1" min="14" max="14"/>
    <col width="7" customWidth="1" min="15" max="15"/>
    <col width="8" customWidth="1" min="16" max="16"/>
    <col width="8" customWidth="1" min="17" max="17"/>
    <col width="9" customWidth="1" min="18" max="18"/>
    <col width="8" customWidth="1" min="19" max="19"/>
    <col width="34" customWidth="1" min="20" max="20"/>
  </cols>
  <sheetData>
    <row r="1">
      <c r="A1" s="15" t="inlineStr">
        <is>
          <t>GRN ENTRY PAD</t>
        </is>
      </c>
    </row>
    <row r="2">
      <c r="A2" s="16" t="inlineStr">
        <is>
          <t>One row per lot received. Lot ID fills itself. The lot cannot be issued until Lot QC records ACCEPTED.</t>
        </is>
      </c>
    </row>
    <row r="4" ht="30" customHeight="1">
      <c r="A4" s="21" t="inlineStr">
        <is>
          <t>Lot ID</t>
        </is>
      </c>
      <c r="B4" s="21" t="inlineStr">
        <is>
          <t>GRN Date</t>
        </is>
      </c>
      <c r="C4" s="21" t="inlineStr">
        <is>
          <t>Supplier ID</t>
        </is>
      </c>
      <c r="D4" s="21" t="inlineStr">
        <is>
          <t>Supplier Inv No</t>
        </is>
      </c>
      <c r="E4" s="21" t="inlineStr">
        <is>
          <t>PO Line ID</t>
        </is>
      </c>
      <c r="F4" s="21" t="inlineStr">
        <is>
          <t>Material ID</t>
        </is>
      </c>
      <c r="G4" s="21" t="inlineStr">
        <is>
          <t>Grade Code</t>
        </is>
      </c>
      <c r="H4" s="21" t="inlineStr">
        <is>
          <t>Thk mm</t>
        </is>
      </c>
      <c r="I4" s="21" t="inlineStr">
        <is>
          <t>L mm</t>
        </is>
      </c>
      <c r="J4" s="21" t="inlineStr">
        <is>
          <t>W mm</t>
        </is>
      </c>
      <c r="K4" s="21" t="inlineStr">
        <is>
          <t>Form</t>
        </is>
      </c>
      <c r="L4" s="21" t="inlineStr">
        <is>
          <t>Sheets</t>
        </is>
      </c>
      <c r="M4" s="21" t="inlineStr">
        <is>
          <t>Received kg</t>
        </is>
      </c>
      <c r="N4" s="21" t="inlineStr">
        <is>
          <t>Theo kg</t>
        </is>
      </c>
      <c r="O4" s="21" t="inlineStr">
        <is>
          <t>Theo Var %</t>
        </is>
      </c>
      <c r="P4" s="21" t="inlineStr">
        <is>
          <t>Bill Rate Rs</t>
        </is>
      </c>
      <c r="Q4" s="21" t="inlineStr">
        <is>
          <t>PO Rate Rs</t>
        </is>
      </c>
      <c r="R4" s="21" t="inlineStr">
        <is>
          <t>PO Pending kg</t>
        </is>
      </c>
      <c r="S4" s="21" t="inlineStr">
        <is>
          <t>Excess kg</t>
        </is>
      </c>
      <c r="T4" s="21" t="inlineStr">
        <is>
          <t>Ready / issues</t>
        </is>
      </c>
    </row>
    <row r="5">
      <c r="A5" s="23">
        <f>IF(C5="","",G5&amp;"-"&amp;'Settings'!$B$6&amp;"-"&amp;TEXT(COUNTIF('GRN Register'!$H$5:$H$400,G5)+COUNTIF(G$4:G4,G5)+1,"0000"))</f>
        <v/>
      </c>
      <c r="B5" s="28" t="n">
        <v>46492</v>
      </c>
      <c r="C5" s="24" t="inlineStr">
        <is>
          <t>SUP-0007</t>
        </is>
      </c>
      <c r="D5" s="24" t="inlineStr">
        <is>
          <t>INV/3419</t>
        </is>
      </c>
      <c r="E5" s="24" t="inlineStr">
        <is>
          <t>PO/27-28/001-01</t>
        </is>
      </c>
      <c r="F5" s="23">
        <f>IF(E5="","",IFERROR(INDEX('PO Line Register'!$C$5:$C$400,MATCH(E5,'PO Line Register'!$A$5:$A$400,0)),""))</f>
        <v/>
      </c>
      <c r="G5" s="23">
        <f>IF(F5="","",INDEX('M_Material'!$B$5:$B$50,MATCH(F5,'M_Material'!$A$5:$A$50,0)))</f>
        <v/>
      </c>
      <c r="H5" s="23">
        <f>IF(F5="","",INDEX('M_Material'!$D$5:$D$50,MATCH(F5,'M_Material'!$A$5:$A$50,0)))</f>
        <v/>
      </c>
      <c r="I5" s="24" t="n">
        <v>2500</v>
      </c>
      <c r="J5" s="24" t="n">
        <v>1250</v>
      </c>
      <c r="K5" s="24" t="inlineStr">
        <is>
          <t>SHEET</t>
        </is>
      </c>
      <c r="L5" s="24" t="n">
        <v>6</v>
      </c>
      <c r="M5" s="25" t="n">
        <v>245</v>
      </c>
      <c r="N5" s="30">
        <f>IF(OR(L5="",H5=""),"",ROUND(L5*I5*J5*H5*'Settings'!$B$9,3))</f>
        <v/>
      </c>
      <c r="O5" s="31">
        <f>IF(N5="","",M5/N5-1)</f>
        <v/>
      </c>
      <c r="P5" s="26" t="n">
        <v>74.5</v>
      </c>
      <c r="Q5" s="27">
        <f>IF(E5="","",IFERROR(INDEX('PO Line Register'!$J$5:$J$400,MATCH(E5,'PO Line Register'!$A$5:$A$400,0)),""))</f>
        <v/>
      </c>
      <c r="R5" s="32">
        <f>IF(E5="","",IFERROR(INDEX('PO Status'!$F$5:$F$100,MATCH(E5,'PO Status'!$A$5:$A$100,0)),0)-SUMIFS(M$4:M4,E$4:E4,E5))</f>
        <v/>
      </c>
      <c r="S5" s="30">
        <f>IF(R5="","",MAX(0,M5-R5))</f>
        <v/>
      </c>
      <c r="T5" s="29">
        <f>IF(C5="","",IF(F5="","NO OPEN PO LINE",IF(N(M5)&lt;=0,"RECEIVED KG REQUIRED",IF(D5="","INVOICE NO REQUIRED",IF(S5&gt;0,"WARN: EXCESS "&amp;TEXT(S5,"0.0")&amp;" kg - decide in Lot QC",IF(ABS(O5)&gt;'Settings'!$B$10,"WARN: THEO VAR "&amp;TEXT(O5,"+0.0%"),"READY"))))))</f>
        <v/>
      </c>
    </row>
    <row r="6">
      <c r="A6" s="23">
        <f>IF(C6="","",G6&amp;"-"&amp;'Settings'!$B$6&amp;"-"&amp;TEXT(COUNTIF('GRN Register'!$H$5:$H$400,G6)+COUNTIF(G$4:G5,G6)+1,"0000"))</f>
        <v/>
      </c>
      <c r="B6" s="28" t="n">
        <v>46492</v>
      </c>
      <c r="C6" s="24" t="inlineStr">
        <is>
          <t>SUP-0007</t>
        </is>
      </c>
      <c r="D6" s="24" t="inlineStr">
        <is>
          <t>INV/3419</t>
        </is>
      </c>
      <c r="E6" s="24" t="inlineStr">
        <is>
          <t>PO/27-28/001-02</t>
        </is>
      </c>
      <c r="F6" s="23">
        <f>IF(E6="","",IFERROR(INDEX('PO Line Register'!$C$5:$C$400,MATCH(E6,'PO Line Register'!$A$5:$A$400,0)),""))</f>
        <v/>
      </c>
      <c r="G6" s="23">
        <f>IF(F6="","",INDEX('M_Material'!$B$5:$B$50,MATCH(F6,'M_Material'!$A$5:$A$50,0)))</f>
        <v/>
      </c>
      <c r="H6" s="23">
        <f>IF(F6="","",INDEX('M_Material'!$D$5:$D$50,MATCH(F6,'M_Material'!$A$5:$A$50,0)))</f>
        <v/>
      </c>
      <c r="I6" s="24" t="n">
        <v>2500</v>
      </c>
      <c r="J6" s="24" t="n">
        <v>1250</v>
      </c>
      <c r="K6" s="24" t="inlineStr">
        <is>
          <t>SHEET</t>
        </is>
      </c>
      <c r="L6" s="24" t="n">
        <v>20</v>
      </c>
      <c r="M6" s="25" t="n">
        <v>590</v>
      </c>
      <c r="N6" s="30">
        <f>IF(OR(L6="",H6=""),"",ROUND(L6*I6*J6*H6*'Settings'!$B$9,3))</f>
        <v/>
      </c>
      <c r="O6" s="31">
        <f>IF(N6="","",M6/N6-1)</f>
        <v/>
      </c>
      <c r="P6" s="26" t="n">
        <v>74.5</v>
      </c>
      <c r="Q6" s="27">
        <f>IF(E6="","",IFERROR(INDEX('PO Line Register'!$J$5:$J$400,MATCH(E6,'PO Line Register'!$A$5:$A$400,0)),""))</f>
        <v/>
      </c>
      <c r="R6" s="32">
        <f>IF(E6="","",IFERROR(INDEX('PO Status'!$F$5:$F$100,MATCH(E6,'PO Status'!$A$5:$A$100,0)),0)-SUMIFS(M$4:M5,E$4:E5,E6))</f>
        <v/>
      </c>
      <c r="S6" s="30">
        <f>IF(R6="","",MAX(0,M6-R6))</f>
        <v/>
      </c>
      <c r="T6" s="29">
        <f>IF(C6="","",IF(F6="","NO OPEN PO LINE",IF(N(M6)&lt;=0,"RECEIVED KG REQUIRED",IF(D6="","INVOICE NO REQUIRED",IF(S6&gt;0,"WARN: EXCESS "&amp;TEXT(S6,"0.0")&amp;" kg - decide in Lot QC",IF(ABS(O6)&gt;'Settings'!$B$10,"WARN: THEO VAR "&amp;TEXT(O6,"+0.0%"),"READY"))))))</f>
        <v/>
      </c>
    </row>
    <row r="7">
      <c r="A7" s="23">
        <f>IF(C7="","",G7&amp;"-"&amp;'Settings'!$B$6&amp;"-"&amp;TEXT(COUNTIF('GRN Register'!$H$5:$H$400,G7)+COUNTIF(G$4:G6,G7)+1,"0000"))</f>
        <v/>
      </c>
      <c r="B7" s="28" t="n">
        <v>46492</v>
      </c>
      <c r="C7" s="24" t="inlineStr">
        <is>
          <t>SUP-0012</t>
        </is>
      </c>
      <c r="D7" s="24" t="inlineStr">
        <is>
          <t>B-77311</t>
        </is>
      </c>
      <c r="E7" s="24" t="inlineStr">
        <is>
          <t>PO/27-28/009-01</t>
        </is>
      </c>
      <c r="F7" s="23">
        <f>IF(E7="","",IFERROR(INDEX('PO Line Register'!$C$5:$C$400,MATCH(E7,'PO Line Register'!$A$5:$A$400,0)),""))</f>
        <v/>
      </c>
      <c r="G7" s="23">
        <f>IF(F7="","",INDEX('M_Material'!$B$5:$B$50,MATCH(F7,'M_Material'!$A$5:$A$50,0)))</f>
        <v/>
      </c>
      <c r="H7" s="23">
        <f>IF(F7="","",INDEX('M_Material'!$D$5:$D$50,MATCH(F7,'M_Material'!$A$5:$A$50,0)))</f>
        <v/>
      </c>
      <c r="I7" s="24" t="n">
        <v>2500</v>
      </c>
      <c r="J7" s="24" t="n">
        <v>1250</v>
      </c>
      <c r="K7" s="24" t="inlineStr">
        <is>
          <t>SHEET</t>
        </is>
      </c>
      <c r="L7" s="24" t="n">
        <v>10</v>
      </c>
      <c r="M7" s="25" t="n">
        <v>245.4</v>
      </c>
      <c r="N7" s="30">
        <f>IF(OR(L7="",H7=""),"",ROUND(L7*I7*J7*H7*'Settings'!$B$9,3))</f>
        <v/>
      </c>
      <c r="O7" s="31">
        <f>IF(N7="","",M7/N7-1)</f>
        <v/>
      </c>
      <c r="P7" s="26" t="n">
        <v>68.2</v>
      </c>
      <c r="Q7" s="27">
        <f>IF(E7="","",IFERROR(INDEX('PO Line Register'!$J$5:$J$400,MATCH(E7,'PO Line Register'!$A$5:$A$400,0)),""))</f>
        <v/>
      </c>
      <c r="R7" s="32">
        <f>IF(E7="","",IFERROR(INDEX('PO Status'!$F$5:$F$100,MATCH(E7,'PO Status'!$A$5:$A$100,0)),0)-SUMIFS(M$4:M6,E$4:E6,E7))</f>
        <v/>
      </c>
      <c r="S7" s="30">
        <f>IF(R7="","",MAX(0,M7-R7))</f>
        <v/>
      </c>
      <c r="T7" s="29">
        <f>IF(C7="","",IF(F7="","NO OPEN PO LINE",IF(N(M7)&lt;=0,"RECEIVED KG REQUIRED",IF(D7="","INVOICE NO REQUIRED",IF(S7&gt;0,"WARN: EXCESS "&amp;TEXT(S7,"0.0")&amp;" kg - decide in Lot QC",IF(ABS(O7)&gt;'Settings'!$B$10,"WARN: THEO VAR "&amp;TEXT(O7,"+0.0%"),"READY"))))))</f>
        <v/>
      </c>
    </row>
    <row r="8">
      <c r="A8" s="23">
        <f>IF(C8="","",G8&amp;"-"&amp;'Settings'!$B$6&amp;"-"&amp;TEXT(COUNTIF('GRN Register'!$H$5:$H$400,G8)+COUNTIF(G$4:G7,G8)+1,"0000"))</f>
        <v/>
      </c>
      <c r="B8" s="28" t="n">
        <v>46492</v>
      </c>
      <c r="C8" s="24" t="inlineStr">
        <is>
          <t>SUP-0012</t>
        </is>
      </c>
      <c r="D8" s="24" t="inlineStr"/>
      <c r="E8" s="24" t="inlineStr">
        <is>
          <t>PO/27-28/002-01</t>
        </is>
      </c>
      <c r="F8" s="23">
        <f>IF(E8="","",IFERROR(INDEX('PO Line Register'!$C$5:$C$400,MATCH(E8,'PO Line Register'!$A$5:$A$400,0)),""))</f>
        <v/>
      </c>
      <c r="G8" s="23">
        <f>IF(F8="","",INDEX('M_Material'!$B$5:$B$50,MATCH(F8,'M_Material'!$A$5:$A$50,0)))</f>
        <v/>
      </c>
      <c r="H8" s="23">
        <f>IF(F8="","",INDEX('M_Material'!$D$5:$D$50,MATCH(F8,'M_Material'!$A$5:$A$50,0)))</f>
        <v/>
      </c>
      <c r="I8" s="24" t="n">
        <v>2500</v>
      </c>
      <c r="J8" s="24" t="n">
        <v>1250</v>
      </c>
      <c r="K8" s="24" t="inlineStr">
        <is>
          <t>SHEET</t>
        </is>
      </c>
      <c r="L8" s="24" t="n">
        <v>25</v>
      </c>
      <c r="M8" s="25" t="n">
        <v>613.2</v>
      </c>
      <c r="N8" s="30">
        <f>IF(OR(L8="",H8=""),"",ROUND(L8*I8*J8*H8*'Settings'!$B$9,3))</f>
        <v/>
      </c>
      <c r="O8" s="31">
        <f>IF(N8="","",M8/N8-1)</f>
        <v/>
      </c>
      <c r="P8" s="26" t="n">
        <v>68.2</v>
      </c>
      <c r="Q8" s="27">
        <f>IF(E8="","",IFERROR(INDEX('PO Line Register'!$J$5:$J$400,MATCH(E8,'PO Line Register'!$A$5:$A$400,0)),""))</f>
        <v/>
      </c>
      <c r="R8" s="32">
        <f>IF(E8="","",IFERROR(INDEX('PO Status'!$F$5:$F$100,MATCH(E8,'PO Status'!$A$5:$A$100,0)),0)-SUMIFS(M$4:M7,E$4:E7,E8))</f>
        <v/>
      </c>
      <c r="S8" s="30">
        <f>IF(R8="","",MAX(0,M8-R8))</f>
        <v/>
      </c>
      <c r="T8" s="29">
        <f>IF(C8="","",IF(F8="","NO OPEN PO LINE",IF(N(M8)&lt;=0,"RECEIVED KG REQUIRED",IF(D8="","INVOICE NO REQUIRED",IF(S8&gt;0,"WARN: EXCESS "&amp;TEXT(S8,"0.0")&amp;" kg - decide in Lot QC",IF(ABS(O8)&gt;'Settings'!$B$10,"WARN: THEO VAR "&amp;TEXT(O8,"+0.0%"),"READY"))))))</f>
        <v/>
      </c>
    </row>
  </sheetData>
  <conditionalFormatting sqref="T5:T8">
    <cfRule type="expression" priority="1" dxfId="0" stopIfTrue="1">
      <formula>OR(LEFT(T5,5)="READY",T5="OK",LEFT(T5,6)="CLOSED")</formula>
    </cfRule>
    <cfRule type="expression" priority="2" dxfId="1" stopIfTrue="1">
      <formula>OR(LEFT(T5,4)="WARN",LEFT(T5,2)="IN",LEFT(T5,3)="NOT",LEFT(T5,7)="REORDER",LEFT(T5,5)="STALE",LEFT(T5,4)="PART",LEFT(T5,7)="PENDING",LEFT(T5,5)="READY")</formula>
    </cfRule>
    <cfRule type="expression" priority="3" dxfId="2">
      <formula>LEN(T5)&gt;0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1" zoomScale="90"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3" customWidth="1" min="3" max="3"/>
    <col width="15" customWidth="1" min="4" max="4"/>
    <col width="9" customWidth="1" min="5" max="5"/>
    <col width="12" customWidth="1" min="6" max="6"/>
    <col width="12" customWidth="1" min="7" max="7"/>
    <col width="9" customWidth="1" min="8" max="8"/>
    <col width="7" customWidth="1" min="9" max="9"/>
    <col width="6" customWidth="1" min="10" max="10"/>
    <col width="9" customWidth="1" min="11" max="11"/>
    <col width="9" customWidth="1" min="12" max="12"/>
    <col width="7" customWidth="1" min="13" max="13"/>
    <col width="10" customWidth="1" min="14" max="14"/>
    <col width="7" customWidth="1" min="15" max="15"/>
    <col width="8" customWidth="1" min="16" max="16"/>
    <col width="8" customWidth="1" min="17" max="17"/>
    <col width="40" customWidth="1" min="18" max="18"/>
  </cols>
  <sheetData>
    <row r="1">
      <c r="A1" s="15" t="inlineStr">
        <is>
          <t>RM ISSUE &amp; RETURN ENTRY PAD</t>
        </is>
      </c>
    </row>
    <row r="2">
      <c r="A2" s="16" t="inlineStr">
        <is>
          <t>ISSUE creates a batch. Returns / offcuts / damaged / scrap must quote an open batch of the same lot. Max available is shown on every row.</t>
        </is>
      </c>
    </row>
    <row r="3">
      <c r="A3" s="33" t="inlineStr">
        <is>
          <t>Lot Balance:</t>
        </is>
      </c>
      <c r="B3" s="34">
        <f>'Lot Balance'!E3</f>
        <v/>
      </c>
    </row>
    <row r="4" ht="30" customHeight="1">
      <c r="A4" s="21" t="inlineStr">
        <is>
          <t>Move ID</t>
        </is>
      </c>
      <c r="B4" s="21" t="inlineStr">
        <is>
          <t>Move Date</t>
        </is>
      </c>
      <c r="C4" s="21" t="inlineStr">
        <is>
          <t>Movement</t>
        </is>
      </c>
      <c r="D4" s="21" t="inlineStr">
        <is>
          <t>Batch ID</t>
        </is>
      </c>
      <c r="E4" s="21" t="inlineStr">
        <is>
          <t>Material ID</t>
        </is>
      </c>
      <c r="F4" s="21" t="inlineStr">
        <is>
          <t>FIFO Lot</t>
        </is>
      </c>
      <c r="G4" s="21" t="inlineStr">
        <is>
          <t>Lot ID</t>
        </is>
      </c>
      <c r="H4" s="21" t="inlineStr">
        <is>
          <t>Override Reason</t>
        </is>
      </c>
      <c r="I4" s="21" t="inlineStr">
        <is>
          <t>Form</t>
        </is>
      </c>
      <c r="J4" s="21" t="inlineStr">
        <is>
          <t>Sheets</t>
        </is>
      </c>
      <c r="K4" s="21" t="inlineStr">
        <is>
          <t>Weight kg</t>
        </is>
      </c>
      <c r="L4" s="21" t="inlineStr">
        <is>
          <t>Avail kg</t>
        </is>
      </c>
      <c r="M4" s="21" t="inlineStr">
        <is>
          <t>Avail Sh</t>
        </is>
      </c>
      <c r="N4" s="21" t="inlineStr">
        <is>
          <t>Stock Effect kg</t>
        </is>
      </c>
      <c r="O4" s="21" t="inlineStr">
        <is>
          <t>Rate Rs</t>
        </is>
      </c>
      <c r="P4" s="21" t="inlineStr">
        <is>
          <t>Machine ID</t>
        </is>
      </c>
      <c r="Q4" s="21" t="inlineStr">
        <is>
          <t>Issued To</t>
        </is>
      </c>
      <c r="R4" s="21" t="inlineStr">
        <is>
          <t>Ready / issues</t>
        </is>
      </c>
    </row>
    <row r="5">
      <c r="A5" s="23">
        <f>IF(C5="","",IF(C5="ISSUE","ISS",IF(C5="RETURN-OFFCUT","OFC",IF(C5="STORES-SCRAP","SCR","RET")))&amp;"-"&amp;'Settings'!$B$6&amp;"-"&amp;TEXT(COUNTA('RM Move Register'!$A$5:$A$400)+ROW()-4,"000000"))</f>
        <v/>
      </c>
      <c r="B5" s="28" t="n">
        <v>46492</v>
      </c>
      <c r="C5" s="24" t="inlineStr">
        <is>
          <t>ISSUE</t>
        </is>
      </c>
      <c r="D5" s="23">
        <f>IF(C5="ISSUE",A5,"")</f>
        <v/>
      </c>
      <c r="E5" s="24" t="inlineStr">
        <is>
          <t>GPSP-1.6</t>
        </is>
      </c>
      <c r="F5" s="22">
        <f t="array" ref="F5">IFERROR(INDEX('Lot Balance'!$A$5:$A$100,MATCH(1,('Lot Balance'!$B$5:$B$100=E5)*('Lot Balance'!$E$5:$E$100="Yes")*('Lot Balance'!$K$5:$K$100&gt;0),0)),"")</f>
        <v/>
      </c>
      <c r="G5" s="24" t="inlineStr">
        <is>
          <t>GP-2728-0001</t>
        </is>
      </c>
      <c r="H5" s="24" t="inlineStr"/>
      <c r="I5" s="24" t="inlineStr">
        <is>
          <t>SHEET</t>
        </is>
      </c>
      <c r="J5" s="24" t="n">
        <v>8</v>
      </c>
      <c r="K5" s="25" t="n">
        <v>300</v>
      </c>
      <c r="L5" s="32">
        <f>IF(G5="","",IFERROR(INDEX('Lot Balance'!$K$5:$K$100,MATCH(G5,'Lot Balance'!$A$5:$A$100,0)),0)-SUMIFS(K$4:K4,G$4:G4,G5,C$4:C4,"ISSUE"))</f>
        <v/>
      </c>
      <c r="M5" s="22">
        <f>IF(G5="","",IFERROR(INDEX('Lot Balance'!$L$5:$L$100,MATCH(G5,'Lot Balance'!$A$5:$A$100,0)),0)-SUMIFS(J$4:J4,G$4:G4,G5,C$4:C4,"ISSUE"))</f>
        <v/>
      </c>
      <c r="N5" s="30">
        <f>IF(C5="","",IF(C5="ISSUE",-K5,IF(OR(C5="RETURN-USABLE",C5="RETURN-OFFCUT"),K5,0)))</f>
        <v/>
      </c>
      <c r="O5" s="27">
        <f>IF(G5="","",IFERROR(INDEX('GRN Register'!$Q$5:$Q$400,MATCH(G5,'GRN Register'!$A$5:$A$400,0)),""))</f>
        <v/>
      </c>
      <c r="P5" s="24" t="inlineStr">
        <is>
          <t>MC-01</t>
        </is>
      </c>
      <c r="Q5" s="24" t="inlineStr">
        <is>
          <t>PER-007</t>
        </is>
      </c>
      <c r="R5" s="29">
        <f>IF(C5="","",IF(IFERROR(INDEX('Lot Balance'!$E$5:$E$100,MATCH(G5,'Lot Balance'!$A$5:$A$100,0)),"No")="No","LOT NOT ISSUE-ELIGIBLE (QC)",IF(AND(C5="ISSUE",K5&gt;L5),"EXCEEDS AVAILABLE: max "&amp;TEXT(L5,"0.000")&amp;" kg / "&amp;M5&amp;" sh",IF(AND(C5&lt;&gt;"ISSUE",D5=""),"RETURN MUST QUOTE BATCH",IF(AND(C5="ISSUE",G5&lt;&gt;F5,H5=""),"WARN: NOT FIFO - override reason required","READY")))))</f>
        <v/>
      </c>
    </row>
    <row r="6">
      <c r="A6" s="23">
        <f>IF(C6="","",IF(C6="ISSUE","ISS",IF(C6="RETURN-OFFCUT","OFC",IF(C6="STORES-SCRAP","SCR","RET")))&amp;"-"&amp;'Settings'!$B$6&amp;"-"&amp;TEXT(COUNTA('RM Move Register'!$A$5:$A$400)+ROW()-4,"000000"))</f>
        <v/>
      </c>
      <c r="B6" s="28" t="n">
        <v>46492</v>
      </c>
      <c r="C6" s="24" t="inlineStr">
        <is>
          <t>ISSUE</t>
        </is>
      </c>
      <c r="D6" s="23">
        <f>IF(C6="ISSUE",A6,"")</f>
        <v/>
      </c>
      <c r="E6" s="24" t="inlineStr">
        <is>
          <t>GPSP-1.6</t>
        </is>
      </c>
      <c r="F6" s="22">
        <f t="array" ref="F6">IFERROR(INDEX('Lot Balance'!$A$5:$A$100,MATCH(1,('Lot Balance'!$B$5:$B$100=E6)*('Lot Balance'!$E$5:$E$100="Yes")*('Lot Balance'!$K$5:$K$100&gt;0),0)),"")</f>
        <v/>
      </c>
      <c r="G6" s="24" t="inlineStr">
        <is>
          <t>GP-2728-0001</t>
        </is>
      </c>
      <c r="H6" s="24" t="inlineStr"/>
      <c r="I6" s="24" t="inlineStr">
        <is>
          <t>SHEET</t>
        </is>
      </c>
      <c r="J6" s="24" t="n">
        <v>25</v>
      </c>
      <c r="K6" s="25" t="n">
        <v>980</v>
      </c>
      <c r="L6" s="32">
        <f>IF(G6="","",IFERROR(INDEX('Lot Balance'!$K$5:$K$100,MATCH(G6,'Lot Balance'!$A$5:$A$100,0)),0)-SUMIFS(K$4:K5,G$4:G5,G6,C$4:C5,"ISSUE"))</f>
        <v/>
      </c>
      <c r="M6" s="22">
        <f>IF(G6="","",IFERROR(INDEX('Lot Balance'!$L$5:$L$100,MATCH(G6,'Lot Balance'!$A$5:$A$100,0)),0)-SUMIFS(J$4:J5,G$4:G5,G6,C$4:C5,"ISSUE"))</f>
        <v/>
      </c>
      <c r="N6" s="30">
        <f>IF(C6="","",IF(C6="ISSUE",-K6,IF(OR(C6="RETURN-USABLE",C6="RETURN-OFFCUT"),K6,0)))</f>
        <v/>
      </c>
      <c r="O6" s="27">
        <f>IF(G6="","",IFERROR(INDEX('GRN Register'!$Q$5:$Q$400,MATCH(G6,'GRN Register'!$A$5:$A$400,0)),""))</f>
        <v/>
      </c>
      <c r="P6" s="24" t="inlineStr">
        <is>
          <t>MC-03</t>
        </is>
      </c>
      <c r="Q6" s="24" t="inlineStr">
        <is>
          <t>PER-011</t>
        </is>
      </c>
      <c r="R6" s="29">
        <f>IF(C6="","",IF(IFERROR(INDEX('Lot Balance'!$E$5:$E$100,MATCH(G6,'Lot Balance'!$A$5:$A$100,0)),"No")="No","LOT NOT ISSUE-ELIGIBLE (QC)",IF(AND(C6="ISSUE",K6&gt;L6),"EXCEEDS AVAILABLE: max "&amp;TEXT(L6,"0.000")&amp;" kg / "&amp;M6&amp;" sh",IF(AND(C6&lt;&gt;"ISSUE",D6=""),"RETURN MUST QUOTE BATCH",IF(AND(C6="ISSUE",G6&lt;&gt;F6,H6=""),"WARN: NOT FIFO - override reason required","READY")))))</f>
        <v/>
      </c>
    </row>
    <row r="7">
      <c r="A7" s="23">
        <f>IF(C7="","",IF(C7="ISSUE","ISS",IF(C7="RETURN-OFFCUT","OFC",IF(C7="STORES-SCRAP","SCR","RET")))&amp;"-"&amp;'Settings'!$B$6&amp;"-"&amp;TEXT(COUNTA('RM Move Register'!$A$5:$A$400)+ROW()-4,"000000"))</f>
        <v/>
      </c>
      <c r="B7" s="28" t="n">
        <v>46492</v>
      </c>
      <c r="C7" s="24" t="inlineStr">
        <is>
          <t>ISSUE</t>
        </is>
      </c>
      <c r="D7" s="23">
        <f>IF(C7="ISSUE",A7,"")</f>
        <v/>
      </c>
      <c r="E7" s="24" t="inlineStr">
        <is>
          <t>CRCA-1.0</t>
        </is>
      </c>
      <c r="F7" s="22">
        <f t="array" ref="F7">IFERROR(INDEX('Lot Balance'!$A$5:$A$100,MATCH(1,('Lot Balance'!$B$5:$B$100=E7)*('Lot Balance'!$E$5:$E$100="Yes")*('Lot Balance'!$K$5:$K$100&gt;0),0)),"")</f>
        <v/>
      </c>
      <c r="G7" s="24" t="inlineStr">
        <is>
          <t>CR-2728-0001</t>
        </is>
      </c>
      <c r="H7" s="24" t="inlineStr"/>
      <c r="I7" s="24" t="inlineStr">
        <is>
          <t>SHEET</t>
        </is>
      </c>
      <c r="J7" s="24" t="n">
        <v>5</v>
      </c>
      <c r="K7" s="25" t="n">
        <v>122.6</v>
      </c>
      <c r="L7" s="32">
        <f>IF(G7="","",IFERROR(INDEX('Lot Balance'!$K$5:$K$100,MATCH(G7,'Lot Balance'!$A$5:$A$100,0)),0)-SUMIFS(K$4:K6,G$4:G6,G7,C$4:C6,"ISSUE"))</f>
        <v/>
      </c>
      <c r="M7" s="22">
        <f>IF(G7="","",IFERROR(INDEX('Lot Balance'!$L$5:$L$100,MATCH(G7,'Lot Balance'!$A$5:$A$100,0)),0)-SUMIFS(J$4:J6,G$4:G6,G7,C$4:C6,"ISSUE"))</f>
        <v/>
      </c>
      <c r="N7" s="30">
        <f>IF(C7="","",IF(C7="ISSUE",-K7,IF(OR(C7="RETURN-USABLE",C7="RETURN-OFFCUT"),K7,0)))</f>
        <v/>
      </c>
      <c r="O7" s="27">
        <f>IF(G7="","",IFERROR(INDEX('GRN Register'!$Q$5:$Q$400,MATCH(G7,'GRN Register'!$A$5:$A$400,0)),""))</f>
        <v/>
      </c>
      <c r="P7" s="24" t="inlineStr">
        <is>
          <t>MC-02</t>
        </is>
      </c>
      <c r="Q7" s="24" t="inlineStr">
        <is>
          <t>PER-003</t>
        </is>
      </c>
      <c r="R7" s="29">
        <f>IF(C7="","",IF(IFERROR(INDEX('Lot Balance'!$E$5:$E$100,MATCH(G7,'Lot Balance'!$A$5:$A$100,0)),"No")="No","LOT NOT ISSUE-ELIGIBLE (QC)",IF(AND(C7="ISSUE",K7&gt;L7),"EXCEEDS AVAILABLE: max "&amp;TEXT(L7,"0.000")&amp;" kg / "&amp;M7&amp;" sh",IF(AND(C7&lt;&gt;"ISSUE",D7=""),"RETURN MUST QUOTE BATCH",IF(AND(C7="ISSUE",G7&lt;&gt;F7,H7=""),"WARN: NOT FIFO - override reason required","READY")))))</f>
        <v/>
      </c>
    </row>
    <row r="8">
      <c r="A8" s="23">
        <f>IF(C8="","",IF(C8="ISSUE","ISS",IF(C8="RETURN-OFFCUT","OFC",IF(C8="STORES-SCRAP","SCR","RET")))&amp;"-"&amp;'Settings'!$B$6&amp;"-"&amp;TEXT(COUNTA('RM Move Register'!$A$5:$A$400)+ROW()-4,"000000"))</f>
        <v/>
      </c>
      <c r="B8" s="28" t="n">
        <v>46492</v>
      </c>
      <c r="C8" s="24" t="inlineStr">
        <is>
          <t>ISSUE</t>
        </is>
      </c>
      <c r="D8" s="23">
        <f>IF(C8="ISSUE",A8,"")</f>
        <v/>
      </c>
      <c r="E8" s="24" t="inlineStr">
        <is>
          <t>GPSP-1.6</t>
        </is>
      </c>
      <c r="F8" s="22">
        <f t="array" ref="F8">IFERROR(INDEX('Lot Balance'!$A$5:$A$100,MATCH(1,('Lot Balance'!$B$5:$B$100=E8)*('Lot Balance'!$E$5:$E$100="Yes")*('Lot Balance'!$K$5:$K$100&gt;0),0)),"")</f>
        <v/>
      </c>
      <c r="G8" s="24" t="inlineStr">
        <is>
          <t>GP-2728-0003</t>
        </is>
      </c>
      <c r="H8" s="24" t="inlineStr"/>
      <c r="I8" s="24" t="inlineStr">
        <is>
          <t>SHEET</t>
        </is>
      </c>
      <c r="J8" s="24" t="n">
        <v>4</v>
      </c>
      <c r="K8" s="25" t="n">
        <v>157.3</v>
      </c>
      <c r="L8" s="32">
        <f>IF(G8="","",IFERROR(INDEX('Lot Balance'!$K$5:$K$100,MATCH(G8,'Lot Balance'!$A$5:$A$100,0)),0)-SUMIFS(K$4:K7,G$4:G7,G8,C$4:C7,"ISSUE"))</f>
        <v/>
      </c>
      <c r="M8" s="22">
        <f>IF(G8="","",IFERROR(INDEX('Lot Balance'!$L$5:$L$100,MATCH(G8,'Lot Balance'!$A$5:$A$100,0)),0)-SUMIFS(J$4:J7,G$4:G7,G8,C$4:C7,"ISSUE"))</f>
        <v/>
      </c>
      <c r="N8" s="30">
        <f>IF(C8="","",IF(C8="ISSUE",-K8,IF(OR(C8="RETURN-USABLE",C8="RETURN-OFFCUT"),K8,0)))</f>
        <v/>
      </c>
      <c r="O8" s="27">
        <f>IF(G8="","",IFERROR(INDEX('GRN Register'!$Q$5:$Q$400,MATCH(G8,'GRN Register'!$A$5:$A$400,0)),""))</f>
        <v/>
      </c>
      <c r="P8" s="24" t="inlineStr">
        <is>
          <t>MC-01</t>
        </is>
      </c>
      <c r="Q8" s="24" t="inlineStr">
        <is>
          <t>PER-007</t>
        </is>
      </c>
      <c r="R8" s="29">
        <f>IF(C8="","",IF(IFERROR(INDEX('Lot Balance'!$E$5:$E$100,MATCH(G8,'Lot Balance'!$A$5:$A$100,0)),"No")="No","LOT NOT ISSUE-ELIGIBLE (QC)",IF(AND(C8="ISSUE",K8&gt;L8),"EXCEEDS AVAILABLE: max "&amp;TEXT(L8,"0.000")&amp;" kg / "&amp;M8&amp;" sh",IF(AND(C8&lt;&gt;"ISSUE",D8=""),"RETURN MUST QUOTE BATCH",IF(AND(C8="ISSUE",G8&lt;&gt;F8,H8=""),"WARN: NOT FIFO - override reason required","READY")))))</f>
        <v/>
      </c>
    </row>
    <row r="9">
      <c r="A9" s="23">
        <f>IF(C9="","",IF(C9="ISSUE","ISS",IF(C9="RETURN-OFFCUT","OFC",IF(C9="STORES-SCRAP","SCR","RET")))&amp;"-"&amp;'Settings'!$B$6&amp;"-"&amp;TEXT(COUNTA('RM Move Register'!$A$5:$A$400)+ROW()-4,"000000"))</f>
        <v/>
      </c>
      <c r="B9" s="28" t="n">
        <v>46492</v>
      </c>
      <c r="C9" s="24" t="inlineStr">
        <is>
          <t>RETURN-OFFCUT</t>
        </is>
      </c>
      <c r="D9" s="24" t="inlineStr">
        <is>
          <t>ISS-2728-000002</t>
        </is>
      </c>
      <c r="E9" s="24" t="inlineStr">
        <is>
          <t>GPSP-1.2</t>
        </is>
      </c>
      <c r="F9" s="22" t="inlineStr"/>
      <c r="G9" s="24" t="inlineStr">
        <is>
          <t>GP-2728-0002</t>
        </is>
      </c>
      <c r="H9" s="24" t="inlineStr"/>
      <c r="I9" s="24" t="inlineStr">
        <is>
          <t>OFFCUT</t>
        </is>
      </c>
      <c r="J9" s="24" t="n">
        <v>0</v>
      </c>
      <c r="K9" s="25" t="n">
        <v>12.5</v>
      </c>
      <c r="L9" s="32">
        <f>IF(G9="","",IFERROR(INDEX('Lot Balance'!$K$5:$K$100,MATCH(G9,'Lot Balance'!$A$5:$A$100,0)),0)-SUMIFS(K$4:K8,G$4:G8,G9,C$4:C8,"ISSUE"))</f>
        <v/>
      </c>
      <c r="M9" s="22">
        <f>IF(G9="","",IFERROR(INDEX('Lot Balance'!$L$5:$L$100,MATCH(G9,'Lot Balance'!$A$5:$A$100,0)),0)-SUMIFS(J$4:J8,G$4:G8,G9,C$4:C8,"ISSUE"))</f>
        <v/>
      </c>
      <c r="N9" s="30">
        <f>IF(C9="","",IF(C9="ISSUE",-K9,IF(OR(C9="RETURN-USABLE",C9="RETURN-OFFCUT"),K9,0)))</f>
        <v/>
      </c>
      <c r="O9" s="27">
        <f>IF(G9="","",IFERROR(INDEX('GRN Register'!$Q$5:$Q$400,MATCH(G9,'GRN Register'!$A$5:$A$400,0)),""))</f>
        <v/>
      </c>
      <c r="P9" s="24" t="inlineStr"/>
      <c r="Q9" s="24" t="inlineStr">
        <is>
          <t>PER-011</t>
        </is>
      </c>
      <c r="R9" s="29">
        <f>IF(C9="","",IF(IFERROR(INDEX('Lot Balance'!$E$5:$E$100,MATCH(G9,'Lot Balance'!$A$5:$A$100,0)),"No")="No","LOT NOT ISSUE-ELIGIBLE (QC)",IF(AND(C9="ISSUE",K9&gt;L9),"EXCEEDS AVAILABLE: max "&amp;TEXT(L9,"0.000")&amp;" kg / "&amp;M9&amp;" sh",IF(AND(C9&lt;&gt;"ISSUE",D9=""),"RETURN MUST QUOTE BATCH",IF(AND(C9="ISSUE",G9&lt;&gt;F9,H9=""),"WARN: NOT FIFO - override reason required","READY")))))</f>
        <v/>
      </c>
    </row>
  </sheetData>
  <conditionalFormatting sqref="R5:R9">
    <cfRule type="expression" priority="1" dxfId="0" stopIfTrue="1">
      <formula>OR(LEFT(R5,5)="READY",R5="OK",LEFT(R5,6)="CLOSED")</formula>
    </cfRule>
    <cfRule type="expression" priority="2" dxfId="1" stopIfTrue="1">
      <formula>OR(LEFT(R5,4)="WARN",LEFT(R5,2)="IN",LEFT(R5,3)="NOT",LEFT(R5,7)="REORDER",LEFT(R5,5)="STALE",LEFT(R5,4)="PART",LEFT(R5,7)="PENDING",LEFT(R5,5)="READY")</formula>
    </cfRule>
    <cfRule type="expression" priority="3" dxfId="2">
      <formula>LEN(R5)&gt;0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1" zoomScale="90"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9" customWidth="1" min="4" max="4"/>
    <col width="20" customWidth="1" min="5" max="5"/>
    <col width="7" customWidth="1" min="6" max="6"/>
    <col width="9" customWidth="1" min="7" max="7"/>
    <col width="8" customWidth="1" min="8" max="8"/>
    <col width="9" customWidth="1" min="9" max="9"/>
    <col width="8" customWidth="1" min="10" max="10"/>
    <col width="16" customWidth="1" min="11" max="11"/>
    <col width="30" customWidth="1" min="12" max="12"/>
  </cols>
  <sheetData>
    <row r="1">
      <c r="A1" s="15" t="inlineStr">
        <is>
          <t>CONSUMABLE ISSUE / RETURN PAD</t>
        </is>
      </c>
    </row>
    <row r="2">
      <c r="A2" s="16" t="inlineStr">
        <is>
          <t>One row per item handed out or returned. Issue above balance is blocked.</t>
        </is>
      </c>
    </row>
    <row r="4" ht="30" customHeight="1">
      <c r="A4" s="21" t="inlineStr">
        <is>
          <t>Cons Move ID</t>
        </is>
      </c>
      <c r="B4" s="21" t="inlineStr">
        <is>
          <t>Move Date</t>
        </is>
      </c>
      <c r="C4" s="21" t="inlineStr">
        <is>
          <t>Movement</t>
        </is>
      </c>
      <c r="D4" s="21" t="inlineStr">
        <is>
          <t>Item ID</t>
        </is>
      </c>
      <c r="E4" s="21" t="inlineStr">
        <is>
          <t>Item Name</t>
        </is>
      </c>
      <c r="F4" s="21" t="inlineStr">
        <is>
          <t>Qty</t>
        </is>
      </c>
      <c r="G4" s="21" t="inlineStr">
        <is>
          <t>Balance Before</t>
        </is>
      </c>
      <c r="H4" s="21" t="inlineStr">
        <is>
          <t>Avg Rate Rs</t>
        </is>
      </c>
      <c r="I4" s="21" t="inlineStr">
        <is>
          <t>Value Rs</t>
        </is>
      </c>
      <c r="J4" s="21" t="inlineStr">
        <is>
          <t>Issued To</t>
        </is>
      </c>
      <c r="K4" s="21" t="inlineStr">
        <is>
          <t>Where Used</t>
        </is>
      </c>
      <c r="L4" s="21" t="inlineStr">
        <is>
          <t>Ready / issues</t>
        </is>
      </c>
    </row>
    <row r="5">
      <c r="A5" s="23">
        <f>IF(C5="","","CI-"&amp;'Settings'!$B$6&amp;"-"&amp;TEXT(COUNTA('Cons Issue Register'!$A$5:$A$400)+ROW()-4,"000000"))</f>
        <v/>
      </c>
      <c r="B5" s="28" t="n">
        <v>46492</v>
      </c>
      <c r="C5" s="24" t="inlineStr">
        <is>
          <t>ISSUE</t>
        </is>
      </c>
      <c r="D5" s="24" t="inlineStr">
        <is>
          <t>ABR-001</t>
        </is>
      </c>
      <c r="E5" s="23">
        <f>IF(D5="","",IFERROR(INDEX('Cons Balance'!$B$5:$B$100,MATCH(D5,'Cons Balance'!$A$5:$A$100,0)),"?"))</f>
        <v/>
      </c>
      <c r="F5" s="24" t="n">
        <v>30</v>
      </c>
      <c r="G5" s="22">
        <f>IF(D5="","",IFERROR(INDEX('Cons Balance'!$G$5:$G$100,MATCH(D5,'Cons Balance'!$A$5:$A$100,0)),0)-SUMIFS(F$4:F4,D$4:D4,D5,C$4:C4,"ISSUE"))</f>
        <v/>
      </c>
      <c r="H5" s="27">
        <f>IF(D5="","",IFERROR(INDEX('Cons Balance'!$H$5:$H$100,MATCH(D5,'Cons Balance'!$A$5:$A$100,0)),0))</f>
        <v/>
      </c>
      <c r="I5" s="27">
        <f>IF(F5="","",ROUND(IF(C5="ISSUE",-1,1)*F5*H5,2))</f>
        <v/>
      </c>
      <c r="J5" s="24" t="inlineStr">
        <is>
          <t>PER-007</t>
        </is>
      </c>
      <c r="K5" s="24" t="inlineStr">
        <is>
          <t>MC-01 SLTL Laser</t>
        </is>
      </c>
      <c r="L5" s="29">
        <f>IF(C5="","",IF(E5="?","ITEM NOT IN MASTER",IF(AND(C5="ISSUE",F5&gt;G5),"EXCEEDS BALANCE: max "&amp;G5,IF(K5="","WHERE USED REQUIRED","READY"))))</f>
        <v/>
      </c>
    </row>
    <row r="6">
      <c r="A6" s="23">
        <f>IF(C6="","","CI-"&amp;'Settings'!$B$6&amp;"-"&amp;TEXT(COUNTA('Cons Issue Register'!$A$5:$A$400)+ROW()-4,"000000"))</f>
        <v/>
      </c>
      <c r="B6" s="28" t="n">
        <v>46492</v>
      </c>
      <c r="C6" s="24" t="inlineStr">
        <is>
          <t>ISSUE</t>
        </is>
      </c>
      <c r="D6" s="24" t="inlineStr">
        <is>
          <t>GAS-001</t>
        </is>
      </c>
      <c r="E6" s="23">
        <f>IF(D6="","",IFERROR(INDEX('Cons Balance'!$B$5:$B$100,MATCH(D6,'Cons Balance'!$A$5:$A$100,0)),"?"))</f>
        <v/>
      </c>
      <c r="F6" s="24" t="n">
        <v>40</v>
      </c>
      <c r="G6" s="22">
        <f>IF(D6="","",IFERROR(INDEX('Cons Balance'!$G$5:$G$100,MATCH(D6,'Cons Balance'!$A$5:$A$100,0)),0)-SUMIFS(F$4:F5,D$4:D5,D6,C$4:C5,"ISSUE"))</f>
        <v/>
      </c>
      <c r="H6" s="27">
        <f>IF(D6="","",IFERROR(INDEX('Cons Balance'!$H$5:$H$100,MATCH(D6,'Cons Balance'!$A$5:$A$100,0)),0))</f>
        <v/>
      </c>
      <c r="I6" s="27">
        <f>IF(F6="","",ROUND(IF(C6="ISSUE",-1,1)*F6*H6,2))</f>
        <v/>
      </c>
      <c r="J6" s="24" t="inlineStr">
        <is>
          <t>PER-030</t>
        </is>
      </c>
      <c r="K6" s="24" t="inlineStr">
        <is>
          <t>Fabrication Bay</t>
        </is>
      </c>
      <c r="L6" s="29">
        <f>IF(C6="","",IF(E6="?","ITEM NOT IN MASTER",IF(AND(C6="ISSUE",F6&gt;G6),"EXCEEDS BALANCE: max "&amp;G6,IF(K6="","WHERE USED REQUIRED","READY"))))</f>
        <v/>
      </c>
    </row>
    <row r="7">
      <c r="A7" s="23">
        <f>IF(C7="","","CI-"&amp;'Settings'!$B$6&amp;"-"&amp;TEXT(COUNTA('Cons Issue Register'!$A$5:$A$400)+ROW()-4,"000000"))</f>
        <v/>
      </c>
      <c r="B7" s="28" t="n">
        <v>46492</v>
      </c>
      <c r="C7" s="24" t="inlineStr">
        <is>
          <t>ISSUE</t>
        </is>
      </c>
      <c r="D7" s="24" t="inlineStr">
        <is>
          <t>WLD-003</t>
        </is>
      </c>
      <c r="E7" s="23">
        <f>IF(D7="","",IFERROR(INDEX('Cons Balance'!$B$5:$B$100,MATCH(D7,'Cons Balance'!$A$5:$A$100,0)),"?"))</f>
        <v/>
      </c>
      <c r="F7" s="24" t="n">
        <v>10</v>
      </c>
      <c r="G7" s="22">
        <f>IF(D7="","",IFERROR(INDEX('Cons Balance'!$G$5:$G$100,MATCH(D7,'Cons Balance'!$A$5:$A$100,0)),0)-SUMIFS(F$4:F6,D$4:D6,D7,C$4:C6,"ISSUE"))</f>
        <v/>
      </c>
      <c r="H7" s="27">
        <f>IF(D7="","",IFERROR(INDEX('Cons Balance'!$H$5:$H$100,MATCH(D7,'Cons Balance'!$A$5:$A$100,0)),0))</f>
        <v/>
      </c>
      <c r="I7" s="27">
        <f>IF(F7="","",ROUND(IF(C7="ISSUE",-1,1)*F7*H7,2))</f>
        <v/>
      </c>
      <c r="J7" s="24" t="inlineStr">
        <is>
          <t>PER-030</t>
        </is>
      </c>
      <c r="K7" s="24" t="inlineStr"/>
      <c r="L7" s="29">
        <f>IF(C7="","",IF(E7="?","ITEM NOT IN MASTER",IF(AND(C7="ISSUE",F7&gt;G7),"EXCEEDS BALANCE: max "&amp;G7,IF(K7="","WHERE USED REQUIRED","READY"))))</f>
        <v/>
      </c>
    </row>
    <row r="8">
      <c r="A8" s="23">
        <f>IF(C8="","","CI-"&amp;'Settings'!$B$6&amp;"-"&amp;TEXT(COUNTA('Cons Issue Register'!$A$5:$A$400)+ROW()-4,"000000"))</f>
        <v/>
      </c>
      <c r="B8" s="28" t="n">
        <v>46492</v>
      </c>
      <c r="C8" s="24" t="inlineStr">
        <is>
          <t>RETURN</t>
        </is>
      </c>
      <c r="D8" s="24" t="inlineStr">
        <is>
          <t>ABR-004</t>
        </is>
      </c>
      <c r="E8" s="23">
        <f>IF(D8="","",IFERROR(INDEX('Cons Balance'!$B$5:$B$100,MATCH(D8,'Cons Balance'!$A$5:$A$100,0)),"?"))</f>
        <v/>
      </c>
      <c r="F8" s="24" t="n">
        <v>2</v>
      </c>
      <c r="G8" s="22">
        <f>IF(D8="","",IFERROR(INDEX('Cons Balance'!$G$5:$G$100,MATCH(D8,'Cons Balance'!$A$5:$A$100,0)),0)-SUMIFS(F$4:F7,D$4:D7,D8,C$4:C7,"ISSUE"))</f>
        <v/>
      </c>
      <c r="H8" s="27">
        <f>IF(D8="","",IFERROR(INDEX('Cons Balance'!$H$5:$H$100,MATCH(D8,'Cons Balance'!$A$5:$A$100,0)),0))</f>
        <v/>
      </c>
      <c r="I8" s="27">
        <f>IF(F8="","",ROUND(IF(C8="ISSUE",-1,1)*F8*H8,2))</f>
        <v/>
      </c>
      <c r="J8" s="24" t="inlineStr">
        <is>
          <t>PER-003</t>
        </is>
      </c>
      <c r="K8" s="24" t="inlineStr">
        <is>
          <t>MC-02 Amada Punching</t>
        </is>
      </c>
      <c r="L8" s="29">
        <f>IF(C8="","",IF(E8="?","ITEM NOT IN MASTER",IF(AND(C8="ISSUE",F8&gt;G8),"EXCEEDS BALANCE: max "&amp;G8,IF(K8="","WHERE USED REQUIRED","READY"))))</f>
        <v/>
      </c>
    </row>
  </sheetData>
  <conditionalFormatting sqref="L5:L8">
    <cfRule type="expression" priority="1" dxfId="0" stopIfTrue="1">
      <formula>OR(LEFT(L5,5)="READY",L5="OK",LEFT(L5,6)="CLOSED")</formula>
    </cfRule>
    <cfRule type="expression" priority="2" dxfId="1" stopIfTrue="1">
      <formula>OR(LEFT(L5,4)="WARN",LEFT(L5,2)="IN",LEFT(L5,3)="NOT",LEFT(L5,7)="REORDER",LEFT(L5,5)="STALE",LEFT(L5,4)="PART",LEFT(L5,7)="PENDING",LEFT(L5,5)="READY")</formula>
    </cfRule>
    <cfRule type="expression" priority="3" dxfId="2">
      <formula>LEN(L5)&gt;0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1" zoomScale="90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12" customWidth="1" min="4" max="4"/>
    <col width="9" customWidth="1" min="5" max="5"/>
    <col width="9" customWidth="1" min="6" max="6"/>
    <col width="9" customWidth="1" min="7" max="7"/>
    <col width="7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32" customWidth="1" min="14" max="14"/>
  </cols>
  <sheetData>
    <row r="1">
      <c r="A1" s="15" t="inlineStr">
        <is>
          <t>AUTHORISED STOCK-ADJUSTMENT PAD</t>
        </is>
      </c>
    </row>
    <row r="2">
      <c r="A2" s="16" t="inlineStr">
        <is>
          <t>Only for genuine corrections. Reason code, reference and an approver different from the requester are mandatory.</t>
        </is>
      </c>
    </row>
    <row r="4" ht="30" customHeight="1">
      <c r="A4" s="21" t="inlineStr">
        <is>
          <t>Adj ID</t>
        </is>
      </c>
      <c r="B4" s="21" t="inlineStr">
        <is>
          <t>Adj Date</t>
        </is>
      </c>
      <c r="C4" s="21" t="inlineStr">
        <is>
          <t>Stock Type</t>
        </is>
      </c>
      <c r="D4" s="21" t="inlineStr">
        <is>
          <t>Lot / Item ID</t>
        </is>
      </c>
      <c r="E4" s="21" t="inlineStr">
        <is>
          <t>Direction</t>
        </is>
      </c>
      <c r="F4" s="21" t="inlineStr">
        <is>
          <t>Adj kg / Qty</t>
        </is>
      </c>
      <c r="G4" s="21" t="inlineStr">
        <is>
          <t>Available</t>
        </is>
      </c>
      <c r="H4" s="21" t="inlineStr">
        <is>
          <t>Rate Rs</t>
        </is>
      </c>
      <c r="I4" s="21" t="inlineStr">
        <is>
          <t>Value Rs</t>
        </is>
      </c>
      <c r="J4" s="21" t="inlineStr">
        <is>
          <t>Reason Code</t>
        </is>
      </c>
      <c r="K4" s="21" t="inlineStr">
        <is>
          <t>Reference</t>
        </is>
      </c>
      <c r="L4" s="21" t="inlineStr">
        <is>
          <t>Requested By</t>
        </is>
      </c>
      <c r="M4" s="21" t="inlineStr">
        <is>
          <t>Approved By</t>
        </is>
      </c>
      <c r="N4" s="21" t="inlineStr">
        <is>
          <t>Ready / issues</t>
        </is>
      </c>
    </row>
    <row r="5">
      <c r="A5" s="23">
        <f>IF(C5="","","ADJ-"&amp;'Settings'!$B$6&amp;"-"&amp;TEXT(COUNTA('Adjust Register'!$A$5:$A$400)+ROW()-4,"00000"))</f>
        <v/>
      </c>
      <c r="B5" s="28" t="n">
        <v>46492</v>
      </c>
      <c r="C5" s="24" t="inlineStr">
        <is>
          <t>RM-LOT</t>
        </is>
      </c>
      <c r="D5" s="24" t="inlineStr">
        <is>
          <t>GP-2728-0003</t>
        </is>
      </c>
      <c r="E5" s="24" t="inlineStr">
        <is>
          <t>DECREASE</t>
        </is>
      </c>
      <c r="F5" s="25" t="n">
        <v>2.6</v>
      </c>
      <c r="G5" s="22">
        <f>IF(D5="","",IF(C5="RM-LOT",IFERROR(INDEX('Lot Balance'!$K$5:$K$100,MATCH(D5,'Lot Balance'!$A$5:$A$100,0)),0),IFERROR(INDEX('Cons Balance'!$G$5:$G$100,MATCH(D5,'Cons Balance'!$A$5:$A$100,0)),0)))</f>
        <v/>
      </c>
      <c r="H5" s="27">
        <f>IF(D5="","",IF(C5="RM-LOT",IFERROR(INDEX('Lot Balance'!$M$5:$M$100,MATCH(D5,'Lot Balance'!$A$5:$A$100,0)),0),IFERROR(INDEX('Cons Balance'!$H$5:$H$100,MATCH(D5,'Cons Balance'!$A$5:$A$100,0)),0)))</f>
        <v/>
      </c>
      <c r="I5" s="27">
        <f>IF(F5="","",ROUND(IF(E5="DECREASE",-1,1)*F5*H5,2))</f>
        <v/>
      </c>
      <c r="J5" s="24" t="inlineStr">
        <is>
          <t>ADJ-WGT</t>
        </is>
      </c>
      <c r="K5" s="24" t="inlineStr">
        <is>
          <t>Weighbridge slip WB-131</t>
        </is>
      </c>
      <c r="L5" s="24" t="inlineStr">
        <is>
          <t>PER-015</t>
        </is>
      </c>
      <c r="M5" s="24" t="inlineStr">
        <is>
          <t>PER-018</t>
        </is>
      </c>
      <c r="N5" s="29">
        <f>IF(C5="","",IF(J5="","REASON CODE REQUIRED",IF(K5="","REFERENCE REQUIRED",IF(OR(M5="",M5=L5),"INDEPENDENT APPROVER REQUIRED",IF(AND(E5="DECREASE",F5&gt;G5),"EXCEEDS AVAILABLE",IF(ABS(I5)&gt;'Settings'!$B$13,"WARN: above limit - MD approval","READY"))))))</f>
        <v/>
      </c>
    </row>
    <row r="6">
      <c r="A6" s="23">
        <f>IF(C6="","","ADJ-"&amp;'Settings'!$B$6&amp;"-"&amp;TEXT(COUNTA('Adjust Register'!$A$5:$A$400)+ROW()-4,"00000"))</f>
        <v/>
      </c>
      <c r="B6" s="28" t="n">
        <v>46492</v>
      </c>
      <c r="C6" s="24" t="inlineStr">
        <is>
          <t>CONSUMABLE</t>
        </is>
      </c>
      <c r="D6" s="24" t="inlineStr">
        <is>
          <t>GAS-001</t>
        </is>
      </c>
      <c r="E6" s="24" t="inlineStr">
        <is>
          <t>INCREASE</t>
        </is>
      </c>
      <c r="F6" s="25" t="n">
        <v>10</v>
      </c>
      <c r="G6" s="22">
        <f>IF(D6="","",IF(C6="RM-LOT",IFERROR(INDEX('Lot Balance'!$K$5:$K$100,MATCH(D6,'Lot Balance'!$A$5:$A$100,0)),0),IFERROR(INDEX('Cons Balance'!$G$5:$G$100,MATCH(D6,'Cons Balance'!$A$5:$A$100,0)),0)))</f>
        <v/>
      </c>
      <c r="H6" s="27">
        <f>IF(D6="","",IF(C6="RM-LOT",IFERROR(INDEX('Lot Balance'!$M$5:$M$100,MATCH(D6,'Lot Balance'!$A$5:$A$100,0)),0),IFERROR(INDEX('Cons Balance'!$H$5:$H$100,MATCH(D6,'Cons Balance'!$A$5:$A$100,0)),0)))</f>
        <v/>
      </c>
      <c r="I6" s="27">
        <f>IF(F6="","",ROUND(IF(E6="DECREASE",-1,1)*F6*H6,2))</f>
        <v/>
      </c>
      <c r="J6" s="24" t="inlineStr"/>
      <c r="K6" s="24" t="inlineStr"/>
      <c r="L6" s="24" t="inlineStr">
        <is>
          <t>PER-015</t>
        </is>
      </c>
      <c r="M6" s="24" t="inlineStr">
        <is>
          <t>PER-015</t>
        </is>
      </c>
      <c r="N6" s="29">
        <f>IF(C6="","",IF(J6="","REASON CODE REQUIRED",IF(K6="","REFERENCE REQUIRED",IF(OR(M6="",M6=L6),"INDEPENDENT APPROVER REQUIRED",IF(AND(E6="DECREASE",F6&gt;G6),"EXCEEDS AVAILABLE",IF(ABS(I6)&gt;'Settings'!$B$13,"WARN: above limit - MD approval","READY"))))))</f>
        <v/>
      </c>
    </row>
    <row r="7">
      <c r="A7" s="23">
        <f>IF(C7="","","ADJ-"&amp;'Settings'!$B$6&amp;"-"&amp;TEXT(COUNTA('Adjust Register'!$A$5:$A$400)+ROW()-4,"00000"))</f>
        <v/>
      </c>
      <c r="B7" s="28" t="n">
        <v>46492</v>
      </c>
      <c r="C7" s="24" t="inlineStr">
        <is>
          <t>RM-LOT</t>
        </is>
      </c>
      <c r="D7" s="24" t="inlineStr">
        <is>
          <t>HR-2728-0001</t>
        </is>
      </c>
      <c r="E7" s="24" t="inlineStr">
        <is>
          <t>DECREASE</t>
        </is>
      </c>
      <c r="F7" s="25" t="n">
        <v>30</v>
      </c>
      <c r="G7" s="22">
        <f>IF(D7="","",IF(C7="RM-LOT",IFERROR(INDEX('Lot Balance'!$K$5:$K$100,MATCH(D7,'Lot Balance'!$A$5:$A$100,0)),0),IFERROR(INDEX('Cons Balance'!$G$5:$G$100,MATCH(D7,'Cons Balance'!$A$5:$A$100,0)),0)))</f>
        <v/>
      </c>
      <c r="H7" s="27">
        <f>IF(D7="","",IF(C7="RM-LOT",IFERROR(INDEX('Lot Balance'!$M$5:$M$100,MATCH(D7,'Lot Balance'!$A$5:$A$100,0)),0),IFERROR(INDEX('Cons Balance'!$H$5:$H$100,MATCH(D7,'Cons Balance'!$A$5:$A$100,0)),0)))</f>
        <v/>
      </c>
      <c r="I7" s="27">
        <f>IF(F7="","",ROUND(IF(E7="DECREASE",-1,1)*F7*H7,2))</f>
        <v/>
      </c>
      <c r="J7" s="24" t="inlineStr">
        <is>
          <t>ADJ-DMG</t>
        </is>
      </c>
      <c r="K7" s="24" t="inlineStr">
        <is>
          <t>Damage note DN-07</t>
        </is>
      </c>
      <c r="L7" s="24" t="inlineStr">
        <is>
          <t>PER-015</t>
        </is>
      </c>
      <c r="M7" s="24" t="inlineStr"/>
      <c r="N7" s="29">
        <f>IF(C7="","",IF(J7="","REASON CODE REQUIRED",IF(K7="","REFERENCE REQUIRED",IF(OR(M7="",M7=L7),"INDEPENDENT APPROVER REQUIRED",IF(AND(E7="DECREASE",F7&gt;G7),"EXCEEDS AVAILABLE",IF(ABS(I7)&gt;'Settings'!$B$13,"WARN: above limit - MD approval","READY"))))))</f>
        <v/>
      </c>
    </row>
  </sheetData>
  <conditionalFormatting sqref="N5:N7">
    <cfRule type="expression" priority="1" dxfId="0" stopIfTrue="1">
      <formula>OR(LEFT(N5,5)="READY",N5="OK",LEFT(N5,6)="CLOSED")</formula>
    </cfRule>
    <cfRule type="expression" priority="2" dxfId="1" stopIfTrue="1">
      <formula>OR(LEFT(N5,4)="WARN",LEFT(N5,2)="IN",LEFT(N5,3)="NOT",LEFT(N5,7)="REORDER",LEFT(N5,5)="STALE",LEFT(N5,4)="PART",LEFT(N5,7)="PENDING",LEFT(N5,5)="READY")</formula>
    </cfRule>
    <cfRule type="expression" priority="3" dxfId="2">
      <formula>LEN(N5)&gt;0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zoomScale="90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8" customWidth="1" min="4" max="4"/>
    <col width="10" customWidth="1" min="5" max="5"/>
    <col width="8" customWidth="1" min="6" max="6"/>
    <col width="13" customWidth="1" min="7" max="7"/>
    <col width="10" customWidth="1" min="8" max="8"/>
    <col width="9" customWidth="1" min="9" max="9"/>
    <col width="13" customWidth="1" min="10" max="10"/>
    <col width="9" customWidth="1" min="11" max="11"/>
    <col width="9" customWidth="1" min="12" max="12"/>
  </cols>
  <sheetData>
    <row r="1">
      <c r="A1" s="15" t="inlineStr">
        <is>
          <t>PO HEADER REGISTER - values only</t>
        </is>
      </c>
    </row>
    <row r="2">
      <c r="A2" s="16" t="inlineStr">
        <is>
          <t>Posted from PO Entry. Status changes are new status lines, never edits.</t>
        </is>
      </c>
    </row>
    <row r="4" ht="30" customHeight="1">
      <c r="A4" s="21" t="inlineStr">
        <is>
          <t>PO No</t>
        </is>
      </c>
      <c r="B4" s="21" t="inlineStr">
        <is>
          <t>PO Date</t>
        </is>
      </c>
      <c r="C4" s="21" t="inlineStr">
        <is>
          <t>Supplier ID</t>
        </is>
      </c>
      <c r="D4" s="21" t="inlineStr">
        <is>
          <t>Supplier Name</t>
        </is>
      </c>
      <c r="E4" s="21" t="inlineStr">
        <is>
          <t>Delivery By</t>
        </is>
      </c>
      <c r="F4" s="21" t="inlineStr">
        <is>
          <t>Pay Days</t>
        </is>
      </c>
      <c r="G4" s="21" t="inlineStr">
        <is>
          <t>Delivery Location</t>
        </is>
      </c>
      <c r="H4" s="21" t="inlineStr">
        <is>
          <t>Approved By</t>
        </is>
      </c>
      <c r="I4" s="21" t="inlineStr">
        <is>
          <t>PO Status</t>
        </is>
      </c>
      <c r="J4" s="21" t="inlineStr">
        <is>
          <t>Posted At</t>
        </is>
      </c>
      <c r="K4" s="21" t="inlineStr">
        <is>
          <t>Posted By</t>
        </is>
      </c>
      <c r="L4" s="21" t="inlineStr">
        <is>
          <t>Entry Source</t>
        </is>
      </c>
    </row>
    <row r="5">
      <c r="A5" s="23" t="inlineStr">
        <is>
          <t>PO/27-28/001</t>
        </is>
      </c>
      <c r="B5" s="35" t="n">
        <v>46479</v>
      </c>
      <c r="C5" s="23" t="inlineStr">
        <is>
          <t>SUP-0007</t>
        </is>
      </c>
      <c r="D5" s="23" t="inlineStr">
        <is>
          <t>Supplier A (masked)</t>
        </is>
      </c>
      <c r="E5" s="35" t="n">
        <v>46489</v>
      </c>
      <c r="F5" s="23" t="n">
        <v>30</v>
      </c>
      <c r="G5" s="23" t="inlineStr">
        <is>
          <t>ISKO Factory</t>
        </is>
      </c>
      <c r="H5" s="23" t="inlineStr">
        <is>
          <t>PER-018</t>
        </is>
      </c>
      <c r="I5" s="23" t="inlineStr">
        <is>
          <t>OPEN</t>
        </is>
      </c>
      <c r="J5" s="36" t="n">
        <v>46479.46180555555</v>
      </c>
      <c r="K5" s="23" t="inlineStr">
        <is>
          <t>PER-015</t>
        </is>
      </c>
      <c r="L5" s="23" t="inlineStr">
        <is>
          <t>PAD</t>
        </is>
      </c>
    </row>
    <row r="6">
      <c r="A6" s="23" t="inlineStr">
        <is>
          <t>PO/27-28/002</t>
        </is>
      </c>
      <c r="B6" s="35" t="n">
        <v>46480</v>
      </c>
      <c r="C6" s="23" t="inlineStr">
        <is>
          <t>SUP-0012</t>
        </is>
      </c>
      <c r="D6" s="23" t="inlineStr">
        <is>
          <t>Supplier B (masked)</t>
        </is>
      </c>
      <c r="E6" s="35" t="n">
        <v>46491</v>
      </c>
      <c r="F6" s="23" t="n">
        <v>45</v>
      </c>
      <c r="G6" s="23" t="inlineStr">
        <is>
          <t>ISKO Factory</t>
        </is>
      </c>
      <c r="H6" s="23" t="inlineStr">
        <is>
          <t>PER-018</t>
        </is>
      </c>
      <c r="I6" s="23" t="inlineStr">
        <is>
          <t>OPEN</t>
        </is>
      </c>
      <c r="J6" s="36" t="n">
        <v>46480.69444444445</v>
      </c>
      <c r="K6" s="23" t="inlineStr">
        <is>
          <t>PER-015</t>
        </is>
      </c>
      <c r="L6" s="23" t="inlineStr">
        <is>
          <t>PAD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1" zoomScale="9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10" customWidth="1" min="8" max="8"/>
    <col width="6" customWidth="1" min="9" max="9"/>
    <col width="8" customWidth="1" min="10" max="10"/>
    <col width="12" customWidth="1" min="11" max="11"/>
    <col width="10" customWidth="1" min="12" max="12"/>
    <col width="13" customWidth="1" min="13" max="13"/>
  </cols>
  <sheetData>
    <row r="1">
      <c r="A1" s="15" t="inlineStr">
        <is>
          <t>PO LINE REGISTER - values only</t>
        </is>
      </c>
    </row>
    <row r="2">
      <c r="A2" s="16" t="inlineStr">
        <is>
          <t>Received / pending are NOT stored here - see PO Status.</t>
        </is>
      </c>
    </row>
    <row r="4" ht="30" customHeight="1">
      <c r="A4" s="21" t="inlineStr">
        <is>
          <t>PO Line ID</t>
        </is>
      </c>
      <c r="B4" s="21" t="inlineStr">
        <is>
          <t>PO No</t>
        </is>
      </c>
      <c r="C4" s="21" t="inlineStr">
        <is>
          <t>Item ID</t>
        </is>
      </c>
      <c r="D4" s="21" t="inlineStr">
        <is>
          <t>Grade</t>
        </is>
      </c>
      <c r="E4" s="21" t="inlineStr">
        <is>
          <t>Thk mm</t>
        </is>
      </c>
      <c r="F4" s="21" t="inlineStr">
        <is>
          <t>L mm</t>
        </is>
      </c>
      <c r="G4" s="21" t="inlineStr">
        <is>
          <t>W mm</t>
        </is>
      </c>
      <c r="H4" s="21" t="inlineStr">
        <is>
          <t>Ordered kg</t>
        </is>
      </c>
      <c r="I4" s="21" t="inlineStr">
        <is>
          <t>Unit</t>
        </is>
      </c>
      <c r="J4" s="21" t="inlineStr">
        <is>
          <t>Rate Rs</t>
        </is>
      </c>
      <c r="K4" s="21" t="inlineStr">
        <is>
          <t>Line Value Rs</t>
        </is>
      </c>
      <c r="L4" s="21" t="inlineStr">
        <is>
          <t>Due Date</t>
        </is>
      </c>
      <c r="M4" s="21" t="inlineStr">
        <is>
          <t>Posted At</t>
        </is>
      </c>
    </row>
    <row r="5">
      <c r="A5" s="23" t="inlineStr">
        <is>
          <t>PO/27-28/001-01</t>
        </is>
      </c>
      <c r="B5" s="23" t="inlineStr">
        <is>
          <t>PO/27-28/001</t>
        </is>
      </c>
      <c r="C5" s="23" t="inlineStr">
        <is>
          <t>GPSP-1.6</t>
        </is>
      </c>
      <c r="D5" s="23" t="inlineStr">
        <is>
          <t>GPSP</t>
        </is>
      </c>
      <c r="E5" s="23" t="n">
        <v>1.6</v>
      </c>
      <c r="F5" s="23" t="n">
        <v>2500</v>
      </c>
      <c r="G5" s="23" t="n">
        <v>1250</v>
      </c>
      <c r="H5" s="30" t="n">
        <v>3000</v>
      </c>
      <c r="I5" s="23" t="inlineStr">
        <is>
          <t>KGS</t>
        </is>
      </c>
      <c r="J5" s="27" t="n">
        <v>74.5</v>
      </c>
      <c r="K5" s="27" t="n">
        <v>223500</v>
      </c>
      <c r="L5" s="35" t="n">
        <v>46489</v>
      </c>
      <c r="M5" s="36" t="n">
        <v>46479.46180555555</v>
      </c>
    </row>
    <row r="6">
      <c r="A6" s="23" t="inlineStr">
        <is>
          <t>PO/27-28/001-02</t>
        </is>
      </c>
      <c r="B6" s="23" t="inlineStr">
        <is>
          <t>PO/27-28/001</t>
        </is>
      </c>
      <c r="C6" s="23" t="inlineStr">
        <is>
          <t>GPSP-1.2</t>
        </is>
      </c>
      <c r="D6" s="23" t="inlineStr">
        <is>
          <t>GPSP</t>
        </is>
      </c>
      <c r="E6" s="23" t="n">
        <v>1.2</v>
      </c>
      <c r="F6" s="23" t="n">
        <v>2500</v>
      </c>
      <c r="G6" s="23" t="n">
        <v>1250</v>
      </c>
      <c r="H6" s="30" t="n">
        <v>2400</v>
      </c>
      <c r="I6" s="23" t="inlineStr">
        <is>
          <t>KGS</t>
        </is>
      </c>
      <c r="J6" s="27" t="n">
        <v>74.5</v>
      </c>
      <c r="K6" s="27" t="n">
        <v>178800</v>
      </c>
      <c r="L6" s="35" t="n">
        <v>46489</v>
      </c>
      <c r="M6" s="36" t="n">
        <v>46479.46180555555</v>
      </c>
    </row>
    <row r="7">
      <c r="A7" s="23" t="inlineStr">
        <is>
          <t>PO/27-28/002-01</t>
        </is>
      </c>
      <c r="B7" s="23" t="inlineStr">
        <is>
          <t>PO/27-28/002</t>
        </is>
      </c>
      <c r="C7" s="23" t="inlineStr">
        <is>
          <t>CRCA-1.0</t>
        </is>
      </c>
      <c r="D7" s="23" t="inlineStr">
        <is>
          <t>CRCA</t>
        </is>
      </c>
      <c r="E7" s="23" t="n">
        <v>1</v>
      </c>
      <c r="F7" s="23" t="n">
        <v>2500</v>
      </c>
      <c r="G7" s="23" t="n">
        <v>1250</v>
      </c>
      <c r="H7" s="30" t="n">
        <v>1500</v>
      </c>
      <c r="I7" s="23" t="inlineStr">
        <is>
          <t>KGS</t>
        </is>
      </c>
      <c r="J7" s="27" t="n">
        <v>68.2</v>
      </c>
      <c r="K7" s="27" t="n">
        <v>102300</v>
      </c>
      <c r="L7" s="35" t="n">
        <v>46491</v>
      </c>
      <c r="M7" s="36" t="n">
        <v>46480.69444444445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9"/>
  <sheetViews>
    <sheetView showGridLines="1" zoomScale="90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11" customWidth="1" min="4" max="4"/>
    <col width="9" customWidth="1" min="5" max="5"/>
    <col width="15" customWidth="1" min="6" max="6"/>
    <col width="10" customWidth="1" min="7" max="7"/>
    <col width="6" customWidth="1" min="8" max="8"/>
    <col width="6" customWidth="1" min="9" max="9"/>
    <col width="6" customWidth="1" min="10" max="10"/>
    <col width="6" customWidth="1" min="11" max="11"/>
    <col width="7" customWidth="1" min="12" max="12"/>
    <col width="7" customWidth="1" min="13" max="13"/>
    <col width="10" customWidth="1" min="14" max="14"/>
    <col width="9" customWidth="1" min="15" max="15"/>
    <col width="7" customWidth="1" min="16" max="16"/>
    <col width="8" customWidth="1" min="17" max="17"/>
    <col width="8" customWidth="1" min="18" max="18"/>
    <col width="8" customWidth="1" min="19" max="19"/>
    <col width="11" customWidth="1" min="20" max="20"/>
    <col width="12" customWidth="1" min="21" max="21"/>
    <col width="9" customWidth="1" min="22" max="22"/>
  </cols>
  <sheetData>
    <row r="1">
      <c r="A1" s="15" t="inlineStr">
        <is>
          <t>GRN REGISTER - one row per lot, values only</t>
        </is>
      </c>
    </row>
    <row r="2">
      <c r="A2" s="16" t="inlineStr">
        <is>
          <t>Receipt facts only. QC decisions are in Lot QC Register.</t>
        </is>
      </c>
    </row>
    <row r="4" ht="30" customHeight="1">
      <c r="A4" s="21" t="inlineStr">
        <is>
          <t>Lot ID</t>
        </is>
      </c>
      <c r="B4" s="21" t="inlineStr">
        <is>
          <t>GRN Date</t>
        </is>
      </c>
      <c r="C4" s="21" t="inlineStr">
        <is>
          <t>Supplier ID</t>
        </is>
      </c>
      <c r="D4" s="21" t="inlineStr">
        <is>
          <t>Supplier Inv No</t>
        </is>
      </c>
      <c r="E4" s="21" t="inlineStr">
        <is>
          <t>Invoice Date</t>
        </is>
      </c>
      <c r="F4" s="21" t="inlineStr">
        <is>
          <t>PO Line ID</t>
        </is>
      </c>
      <c r="G4" s="21" t="inlineStr">
        <is>
          <t>Material ID</t>
        </is>
      </c>
      <c r="H4" s="21" t="inlineStr">
        <is>
          <t>Grade Code</t>
        </is>
      </c>
      <c r="I4" s="21" t="inlineStr">
        <is>
          <t>Thk mm</t>
        </is>
      </c>
      <c r="J4" s="21" t="inlineStr">
        <is>
          <t>L mm</t>
        </is>
      </c>
      <c r="K4" s="21" t="inlineStr">
        <is>
          <t>W mm</t>
        </is>
      </c>
      <c r="L4" s="21" t="inlineStr">
        <is>
          <t>Form</t>
        </is>
      </c>
      <c r="M4" s="21" t="inlineStr">
        <is>
          <t>Sheets</t>
        </is>
      </c>
      <c r="N4" s="21" t="inlineStr">
        <is>
          <t>Received kg</t>
        </is>
      </c>
      <c r="O4" s="21" t="inlineStr">
        <is>
          <t>Theo kg</t>
        </is>
      </c>
      <c r="P4" s="21" t="inlineStr">
        <is>
          <t>Theo Var %</t>
        </is>
      </c>
      <c r="Q4" s="21" t="inlineStr">
        <is>
          <t>Bill Rate Rs</t>
        </is>
      </c>
      <c r="R4" s="21" t="inlineStr">
        <is>
          <t>PO Rate Rs</t>
        </is>
      </c>
      <c r="S4" s="21" t="inlineStr">
        <is>
          <t>Excess kg</t>
        </is>
      </c>
      <c r="T4" s="21" t="inlineStr">
        <is>
          <t>Lot Value Rs</t>
        </is>
      </c>
      <c r="U4" s="21" t="inlineStr">
        <is>
          <t>Posted At</t>
        </is>
      </c>
      <c r="V4" s="21" t="inlineStr">
        <is>
          <t>Entry Source</t>
        </is>
      </c>
    </row>
    <row r="5">
      <c r="A5" s="23" t="inlineStr">
        <is>
          <t>HR-2728-0001</t>
        </is>
      </c>
      <c r="B5" s="35" t="n">
        <v>46478</v>
      </c>
      <c r="C5" s="23" t="inlineStr">
        <is>
          <t>SUP-0012</t>
        </is>
      </c>
      <c r="D5" s="23" t="inlineStr">
        <is>
          <t>OPENING</t>
        </is>
      </c>
      <c r="E5" s="35" t="n">
        <v>46478</v>
      </c>
      <c r="F5" s="23" t="inlineStr">
        <is>
          <t>NO-PO</t>
        </is>
      </c>
      <c r="G5" s="23" t="inlineStr">
        <is>
          <t>HRCA-2.0</t>
        </is>
      </c>
      <c r="H5" s="23" t="inlineStr">
        <is>
          <t>HR</t>
        </is>
      </c>
      <c r="I5" s="23" t="n">
        <v>2</v>
      </c>
      <c r="J5" s="23" t="n">
        <v>2500</v>
      </c>
      <c r="K5" s="23" t="n">
        <v>1250</v>
      </c>
      <c r="L5" s="23" t="inlineStr">
        <is>
          <t>SHEET</t>
        </is>
      </c>
      <c r="M5" s="23" t="n">
        <v>9</v>
      </c>
      <c r="N5" s="30" t="n">
        <v>640.2</v>
      </c>
      <c r="O5" s="30" t="n">
        <v>441.6</v>
      </c>
      <c r="P5" s="31" t="n"/>
      <c r="Q5" s="27" t="n">
        <v>66.09999999999999</v>
      </c>
      <c r="R5" s="27" t="n"/>
      <c r="S5" s="30" t="n">
        <v>0</v>
      </c>
      <c r="T5" s="27" t="n">
        <v>42317.22</v>
      </c>
      <c r="U5" s="36" t="n">
        <v>46478.375</v>
      </c>
      <c r="V5" s="23" t="inlineStr">
        <is>
          <t>OPENING</t>
        </is>
      </c>
    </row>
    <row r="6">
      <c r="A6" s="23" t="inlineStr">
        <is>
          <t>GP-2728-0001</t>
        </is>
      </c>
      <c r="B6" s="35" t="n">
        <v>46485</v>
      </c>
      <c r="C6" s="23" t="inlineStr">
        <is>
          <t>SUP-0007</t>
        </is>
      </c>
      <c r="D6" s="23" t="inlineStr">
        <is>
          <t>INV/3381</t>
        </is>
      </c>
      <c r="E6" s="35" t="n">
        <v>46484</v>
      </c>
      <c r="F6" s="23" t="inlineStr">
        <is>
          <t>PO/27-28/001-01</t>
        </is>
      </c>
      <c r="G6" s="23" t="inlineStr">
        <is>
          <t>GPSP-1.6</t>
        </is>
      </c>
      <c r="H6" s="23" t="inlineStr">
        <is>
          <t>GP</t>
        </is>
      </c>
      <c r="I6" s="23" t="n">
        <v>1.6</v>
      </c>
      <c r="J6" s="23" t="n">
        <v>2500</v>
      </c>
      <c r="K6" s="23" t="n">
        <v>1250</v>
      </c>
      <c r="L6" s="23" t="inlineStr">
        <is>
          <t>SHEET</t>
        </is>
      </c>
      <c r="M6" s="23" t="n">
        <v>40</v>
      </c>
      <c r="N6" s="30" t="n">
        <v>1575.5</v>
      </c>
      <c r="O6" s="30" t="n">
        <v>1570</v>
      </c>
      <c r="P6" s="31" t="n">
        <v>0.0035</v>
      </c>
      <c r="Q6" s="27" t="n">
        <v>74.5</v>
      </c>
      <c r="R6" s="27" t="n">
        <v>74.5</v>
      </c>
      <c r="S6" s="30" t="n">
        <v>0</v>
      </c>
      <c r="T6" s="27" t="n">
        <v>117374.75</v>
      </c>
      <c r="U6" s="36" t="n">
        <v>46485.50694444445</v>
      </c>
      <c r="V6" s="23" t="inlineStr">
        <is>
          <t>PAD</t>
        </is>
      </c>
    </row>
    <row r="7">
      <c r="A7" s="23" t="inlineStr">
        <is>
          <t>GP-2728-0002</t>
        </is>
      </c>
      <c r="B7" s="35" t="n">
        <v>46485</v>
      </c>
      <c r="C7" s="23" t="inlineStr">
        <is>
          <t>SUP-0007</t>
        </is>
      </c>
      <c r="D7" s="23" t="inlineStr">
        <is>
          <t>INV/3381</t>
        </is>
      </c>
      <c r="E7" s="35" t="n">
        <v>46484</v>
      </c>
      <c r="F7" s="23" t="inlineStr">
        <is>
          <t>PO/27-28/001-02</t>
        </is>
      </c>
      <c r="G7" s="23" t="inlineStr">
        <is>
          <t>GPSP-1.2</t>
        </is>
      </c>
      <c r="H7" s="23" t="inlineStr">
        <is>
          <t>GP</t>
        </is>
      </c>
      <c r="I7" s="23" t="n">
        <v>1.2</v>
      </c>
      <c r="J7" s="23" t="n">
        <v>2500</v>
      </c>
      <c r="K7" s="23" t="n">
        <v>1250</v>
      </c>
      <c r="L7" s="23" t="inlineStr">
        <is>
          <t>SHEET</t>
        </is>
      </c>
      <c r="M7" s="23" t="n">
        <v>60</v>
      </c>
      <c r="N7" s="30" t="n">
        <v>1750</v>
      </c>
      <c r="O7" s="30" t="n">
        <v>1766.25</v>
      </c>
      <c r="P7" s="31" t="n">
        <v>-0.0092</v>
      </c>
      <c r="Q7" s="27" t="n">
        <v>74.5</v>
      </c>
      <c r="R7" s="27" t="n">
        <v>74.5</v>
      </c>
      <c r="S7" s="30" t="n">
        <v>0</v>
      </c>
      <c r="T7" s="27" t="n">
        <v>130375</v>
      </c>
      <c r="U7" s="36" t="n">
        <v>46485.50694444445</v>
      </c>
      <c r="V7" s="23" t="inlineStr">
        <is>
          <t>PAD</t>
        </is>
      </c>
    </row>
    <row r="8">
      <c r="A8" s="23" t="inlineStr">
        <is>
          <t>CR-2728-0001</t>
        </is>
      </c>
      <c r="B8" s="35" t="n">
        <v>46489</v>
      </c>
      <c r="C8" s="23" t="inlineStr">
        <is>
          <t>SUP-0012</t>
        </is>
      </c>
      <c r="D8" s="23" t="inlineStr">
        <is>
          <t>B-77120</t>
        </is>
      </c>
      <c r="E8" s="35" t="n">
        <v>46489</v>
      </c>
      <c r="F8" s="23" t="inlineStr">
        <is>
          <t>PO/27-28/002-01</t>
        </is>
      </c>
      <c r="G8" s="23" t="inlineStr">
        <is>
          <t>CRCA-1.0</t>
        </is>
      </c>
      <c r="H8" s="23" t="inlineStr">
        <is>
          <t>CR</t>
        </is>
      </c>
      <c r="I8" s="23" t="n">
        <v>1</v>
      </c>
      <c r="J8" s="23" t="n">
        <v>2500</v>
      </c>
      <c r="K8" s="23" t="n">
        <v>1250</v>
      </c>
      <c r="L8" s="23" t="inlineStr">
        <is>
          <t>SHEET</t>
        </is>
      </c>
      <c r="M8" s="23" t="n">
        <v>30</v>
      </c>
      <c r="N8" s="30" t="n">
        <v>736</v>
      </c>
      <c r="O8" s="30" t="n">
        <v>735.9400000000001</v>
      </c>
      <c r="P8" s="31" t="n">
        <v>0.0001</v>
      </c>
      <c r="Q8" s="27" t="n">
        <v>68.2</v>
      </c>
      <c r="R8" s="27" t="n">
        <v>68.2</v>
      </c>
      <c r="S8" s="30" t="n">
        <v>0</v>
      </c>
      <c r="T8" s="27" t="n">
        <v>50195.2</v>
      </c>
      <c r="U8" s="36" t="n">
        <v>46489.625</v>
      </c>
      <c r="V8" s="23" t="inlineStr">
        <is>
          <t>PAD</t>
        </is>
      </c>
    </row>
    <row r="9">
      <c r="A9" s="23" t="inlineStr">
        <is>
          <t>GP-2728-0003</t>
        </is>
      </c>
      <c r="B9" s="35" t="n">
        <v>46490</v>
      </c>
      <c r="C9" s="23" t="inlineStr">
        <is>
          <t>SUP-0007</t>
        </is>
      </c>
      <c r="D9" s="23" t="inlineStr">
        <is>
          <t>INV/3402</t>
        </is>
      </c>
      <c r="E9" s="35" t="n">
        <v>46490</v>
      </c>
      <c r="F9" s="23" t="inlineStr">
        <is>
          <t>PO/27-28/001-01</t>
        </is>
      </c>
      <c r="G9" s="23" t="inlineStr">
        <is>
          <t>GPSP-1.6</t>
        </is>
      </c>
      <c r="H9" s="23" t="inlineStr">
        <is>
          <t>GP</t>
        </is>
      </c>
      <c r="I9" s="23" t="n">
        <v>1.6</v>
      </c>
      <c r="J9" s="23" t="n">
        <v>2500</v>
      </c>
      <c r="K9" s="23" t="n">
        <v>1250</v>
      </c>
      <c r="L9" s="23" t="inlineStr">
        <is>
          <t>SHEET</t>
        </is>
      </c>
      <c r="M9" s="23" t="n">
        <v>30</v>
      </c>
      <c r="N9" s="30" t="n">
        <v>1180</v>
      </c>
      <c r="O9" s="30" t="n">
        <v>1177.5</v>
      </c>
      <c r="P9" s="31" t="n">
        <v>0.0021</v>
      </c>
      <c r="Q9" s="27" t="n">
        <v>74.5</v>
      </c>
      <c r="R9" s="27" t="n">
        <v>74.5</v>
      </c>
      <c r="S9" s="30" t="n">
        <v>0</v>
      </c>
      <c r="T9" s="27" t="n">
        <v>87910</v>
      </c>
      <c r="U9" s="36" t="n">
        <v>46490.47916666666</v>
      </c>
      <c r="V9" s="23" t="inlineStr">
        <is>
          <t>PAD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zoomScale="90"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9" customWidth="1" min="3" max="3"/>
    <col width="22" customWidth="1" min="4" max="4"/>
    <col width="9" customWidth="1" min="5" max="5"/>
    <col width="8" customWidth="1" min="6" max="6"/>
    <col width="13" customWidth="1" min="7" max="7"/>
    <col width="9" customWidth="1" min="8" max="8"/>
    <col width="10" customWidth="1" min="9" max="9"/>
    <col width="9" customWidth="1" min="10" max="10"/>
    <col width="12" customWidth="1" min="11" max="11"/>
  </cols>
  <sheetData>
    <row r="1">
      <c r="A1" s="15" t="inlineStr">
        <is>
          <t>LOT QC REGISTER - QC and excess decisions (append-only)</t>
        </is>
      </c>
    </row>
    <row r="2">
      <c r="A2" s="16" t="inlineStr">
        <is>
          <t>The latest decision per lot decides whether it can be issued.</t>
        </is>
      </c>
    </row>
    <row r="4" ht="30" customHeight="1">
      <c r="A4" s="21" t="inlineStr">
        <is>
          <t>QC Event ID</t>
        </is>
      </c>
      <c r="B4" s="21" t="inlineStr">
        <is>
          <t>Lot ID</t>
        </is>
      </c>
      <c r="C4" s="21" t="inlineStr">
        <is>
          <t>QC Date</t>
        </is>
      </c>
      <c r="D4" s="21" t="inlineStr">
        <is>
          <t>QC Status</t>
        </is>
      </c>
      <c r="E4" s="21" t="inlineStr">
        <is>
          <t>Rejected kg</t>
        </is>
      </c>
      <c r="F4" s="21" t="inlineStr">
        <is>
          <t>Rejected Sheets</t>
        </is>
      </c>
      <c r="G4" s="21" t="inlineStr">
        <is>
          <t>Excess Decision</t>
        </is>
      </c>
      <c r="H4" s="21" t="inlineStr">
        <is>
          <t>Decided By</t>
        </is>
      </c>
      <c r="I4" s="21" t="inlineStr">
        <is>
          <t>Accepted kg</t>
        </is>
      </c>
      <c r="J4" s="21" t="inlineStr">
        <is>
          <t>Accepted Sheets</t>
        </is>
      </c>
      <c r="K4" s="21" t="inlineStr">
        <is>
          <t>Posted At</t>
        </is>
      </c>
    </row>
    <row r="5">
      <c r="A5" s="23" t="inlineStr">
        <is>
          <t>QC-2728-000001</t>
        </is>
      </c>
      <c r="B5" s="23" t="inlineStr">
        <is>
          <t>HR-2728-0001</t>
        </is>
      </c>
      <c r="C5" s="35" t="n">
        <v>46478</v>
      </c>
      <c r="D5" s="23" t="inlineStr">
        <is>
          <t>ACCEPTED</t>
        </is>
      </c>
      <c r="E5" s="30" t="n">
        <v>0</v>
      </c>
      <c r="F5" s="23" t="n">
        <v>0</v>
      </c>
      <c r="G5" s="23" t="inlineStr"/>
      <c r="H5" s="23" t="inlineStr">
        <is>
          <t>PER-018</t>
        </is>
      </c>
      <c r="I5" s="30" t="n">
        <v>640.2</v>
      </c>
      <c r="J5" s="23" t="n">
        <v>9</v>
      </c>
      <c r="K5" s="36" t="n">
        <v>46478.39583333334</v>
      </c>
    </row>
    <row r="6">
      <c r="A6" s="23" t="inlineStr">
        <is>
          <t>QC-2728-000002</t>
        </is>
      </c>
      <c r="B6" s="23" t="inlineStr">
        <is>
          <t>GP-2728-0001</t>
        </is>
      </c>
      <c r="C6" s="35" t="n">
        <v>46485</v>
      </c>
      <c r="D6" s="23" t="inlineStr">
        <is>
          <t>ACCEPTED</t>
        </is>
      </c>
      <c r="E6" s="30" t="n">
        <v>0</v>
      </c>
      <c r="F6" s="23" t="n">
        <v>0</v>
      </c>
      <c r="G6" s="23" t="inlineStr"/>
      <c r="H6" s="23" t="inlineStr">
        <is>
          <t>PER-018</t>
        </is>
      </c>
      <c r="I6" s="30" t="n">
        <v>1575.5</v>
      </c>
      <c r="J6" s="23" t="n">
        <v>40</v>
      </c>
      <c r="K6" s="36" t="n">
        <v>46485.66666666666</v>
      </c>
    </row>
    <row r="7">
      <c r="A7" s="23" t="inlineStr">
        <is>
          <t>QC-2728-000003</t>
        </is>
      </c>
      <c r="B7" s="23" t="inlineStr">
        <is>
          <t>GP-2728-0002</t>
        </is>
      </c>
      <c r="C7" s="35" t="n">
        <v>46486</v>
      </c>
      <c r="D7" s="23" t="inlineStr">
        <is>
          <t>ACCEPTED WITH REJECTION</t>
        </is>
      </c>
      <c r="E7" s="30" t="n">
        <v>26.4</v>
      </c>
      <c r="F7" s="23" t="n">
        <v>1</v>
      </c>
      <c r="G7" s="23" t="inlineStr"/>
      <c r="H7" s="23" t="inlineStr">
        <is>
          <t>PER-018</t>
        </is>
      </c>
      <c r="I7" s="30" t="n">
        <v>1723.6</v>
      </c>
      <c r="J7" s="23" t="n">
        <v>59</v>
      </c>
      <c r="K7" s="36" t="n">
        <v>46486.42708333334</v>
      </c>
    </row>
    <row r="8">
      <c r="A8" s="23" t="inlineStr">
        <is>
          <t>QC-2728-000004</t>
        </is>
      </c>
      <c r="B8" s="23" t="inlineStr">
        <is>
          <t>CR-2728-0001</t>
        </is>
      </c>
      <c r="C8" s="35" t="n">
        <v>46489</v>
      </c>
      <c r="D8" s="23" t="inlineStr">
        <is>
          <t>HOLD</t>
        </is>
      </c>
      <c r="E8" s="30" t="n">
        <v>0</v>
      </c>
      <c r="F8" s="23" t="n">
        <v>0</v>
      </c>
      <c r="G8" s="23" t="inlineStr"/>
      <c r="H8" s="23" t="inlineStr">
        <is>
          <t>PER-018</t>
        </is>
      </c>
      <c r="I8" s="30" t="n">
        <v>0</v>
      </c>
      <c r="J8" s="23" t="n">
        <v>0</v>
      </c>
      <c r="K8" s="36" t="n">
        <v>46489.70833333334</v>
      </c>
    </row>
    <row r="9">
      <c r="A9" s="23" t="inlineStr">
        <is>
          <t>QC-2728-000005</t>
        </is>
      </c>
      <c r="B9" s="23" t="inlineStr">
        <is>
          <t>GP-2728-0003</t>
        </is>
      </c>
      <c r="C9" s="35" t="n">
        <v>46490</v>
      </c>
      <c r="D9" s="23" t="inlineStr">
        <is>
          <t>ACCEPTED</t>
        </is>
      </c>
      <c r="E9" s="30" t="n">
        <v>0</v>
      </c>
      <c r="F9" s="23" t="n">
        <v>0</v>
      </c>
      <c r="G9" s="23" t="inlineStr"/>
      <c r="H9" s="23" t="inlineStr">
        <is>
          <t>PER-018</t>
        </is>
      </c>
      <c r="I9" s="30" t="n">
        <v>1180</v>
      </c>
      <c r="J9" s="23" t="n">
        <v>30</v>
      </c>
      <c r="K9" s="36" t="n">
        <v>46490.625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8"/>
  <sheetViews>
    <sheetView showGridLines="1" zoomScale="90"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3" customWidth="1" min="3" max="3"/>
    <col width="15" customWidth="1" min="4" max="4"/>
    <col width="9" customWidth="1" min="5" max="5"/>
    <col width="12" customWidth="1" min="6" max="6"/>
    <col width="7" customWidth="1" min="7" max="7"/>
    <col width="6" customWidth="1" min="8" max="8"/>
    <col width="9" customWidth="1" min="9" max="9"/>
    <col width="10" customWidth="1" min="10" max="10"/>
    <col width="8" customWidth="1" min="11" max="11"/>
    <col width="7" customWidth="1" min="12" max="12"/>
    <col width="10" customWidth="1" min="13" max="13"/>
    <col width="8" customWidth="1" min="14" max="14"/>
    <col width="8" customWidth="1" min="15" max="15"/>
    <col width="8" customWidth="1" min="16" max="16"/>
    <col width="9" customWidth="1" min="17" max="17"/>
    <col width="12" customWidth="1" min="18" max="18"/>
    <col width="10" customWidth="1" min="19" max="19"/>
  </cols>
  <sheetData>
    <row r="1">
      <c r="A1" s="15" t="inlineStr">
        <is>
          <t>RM MOVEMENT REGISTER - values only</t>
        </is>
      </c>
    </row>
    <row r="2">
      <c r="A2" s="16" t="inlineStr">
        <is>
          <t>ISSUE line = batch (Batch ID = Move ID). Returns and scrap quote the batch. Corrections = reversal rows.</t>
        </is>
      </c>
    </row>
    <row r="4" ht="30" customHeight="1">
      <c r="A4" s="21" t="inlineStr">
        <is>
          <t>Move ID</t>
        </is>
      </c>
      <c r="B4" s="21" t="inlineStr">
        <is>
          <t>Move Date</t>
        </is>
      </c>
      <c r="C4" s="21" t="inlineStr">
        <is>
          <t>Movement</t>
        </is>
      </c>
      <c r="D4" s="21" t="inlineStr">
        <is>
          <t>Batch ID</t>
        </is>
      </c>
      <c r="E4" s="21" t="inlineStr">
        <is>
          <t>Material ID</t>
        </is>
      </c>
      <c r="F4" s="21" t="inlineStr">
        <is>
          <t>Lot ID</t>
        </is>
      </c>
      <c r="G4" s="21" t="inlineStr">
        <is>
          <t>Form</t>
        </is>
      </c>
      <c r="H4" s="21" t="inlineStr">
        <is>
          <t>Sheets</t>
        </is>
      </c>
      <c r="I4" s="21" t="inlineStr">
        <is>
          <t>Weight kg</t>
        </is>
      </c>
      <c r="J4" s="21" t="inlineStr">
        <is>
          <t>Stock Effect kg</t>
        </is>
      </c>
      <c r="K4" s="21" t="inlineStr">
        <is>
          <t>Stock Effect Sh</t>
        </is>
      </c>
      <c r="L4" s="21" t="inlineStr">
        <is>
          <t>Rate Rs</t>
        </is>
      </c>
      <c r="M4" s="21" t="inlineStr">
        <is>
          <t>Value Rs</t>
        </is>
      </c>
      <c r="N4" s="21" t="inlineStr">
        <is>
          <t>Machine ID</t>
        </is>
      </c>
      <c r="O4" s="21" t="inlineStr">
        <is>
          <t>Issued To</t>
        </is>
      </c>
      <c r="P4" s="21" t="inlineStr">
        <is>
          <t>Purpose</t>
        </is>
      </c>
      <c r="Q4" s="21" t="inlineStr">
        <is>
          <t>Avail kg Before</t>
        </is>
      </c>
      <c r="R4" s="21" t="inlineStr">
        <is>
          <t>Posted At</t>
        </is>
      </c>
      <c r="S4" s="21" t="inlineStr">
        <is>
          <t>Reverses ID</t>
        </is>
      </c>
    </row>
    <row r="5">
      <c r="A5" s="23" t="inlineStr">
        <is>
          <t>ISS-2728-000001</t>
        </is>
      </c>
      <c r="B5" s="35" t="n">
        <v>46489</v>
      </c>
      <c r="C5" s="23" t="inlineStr">
        <is>
          <t>ISSUE</t>
        </is>
      </c>
      <c r="D5" s="23" t="inlineStr">
        <is>
          <t>ISS-2728-000001</t>
        </is>
      </c>
      <c r="E5" s="23" t="inlineStr">
        <is>
          <t>GPSP-1.6</t>
        </is>
      </c>
      <c r="F5" s="23" t="inlineStr">
        <is>
          <t>GP-2728-0001</t>
        </is>
      </c>
      <c r="G5" s="23" t="inlineStr">
        <is>
          <t>SHEET</t>
        </is>
      </c>
      <c r="H5" s="23" t="n">
        <v>12</v>
      </c>
      <c r="I5" s="30" t="n">
        <v>471</v>
      </c>
      <c r="J5" s="30" t="n">
        <v>-471</v>
      </c>
      <c r="K5" s="23" t="n">
        <v>-12</v>
      </c>
      <c r="L5" s="27" t="n">
        <v>74.5</v>
      </c>
      <c r="M5" s="27" t="n">
        <v>-35089.5</v>
      </c>
      <c r="N5" s="23" t="inlineStr">
        <is>
          <t>MC-01</t>
        </is>
      </c>
      <c r="O5" s="23" t="inlineStr">
        <is>
          <t>PER-007</t>
        </is>
      </c>
      <c r="P5" s="23" t="inlineStr">
        <is>
          <t>PRD-A12</t>
        </is>
      </c>
      <c r="Q5" s="30" t="n">
        <v>1575.5</v>
      </c>
      <c r="R5" s="36" t="n">
        <v>46489.38888888889</v>
      </c>
      <c r="S5" s="23" t="inlineStr"/>
    </row>
    <row r="6">
      <c r="A6" s="23" t="inlineStr">
        <is>
          <t>ISS-2728-000002</t>
        </is>
      </c>
      <c r="B6" s="35" t="n">
        <v>46489</v>
      </c>
      <c r="C6" s="23" t="inlineStr">
        <is>
          <t>ISSUE</t>
        </is>
      </c>
      <c r="D6" s="23" t="inlineStr">
        <is>
          <t>ISS-2728-000002</t>
        </is>
      </c>
      <c r="E6" s="23" t="inlineStr">
        <is>
          <t>GPSP-1.2</t>
        </is>
      </c>
      <c r="F6" s="23" t="inlineStr">
        <is>
          <t>GP-2728-0002</t>
        </is>
      </c>
      <c r="G6" s="23" t="inlineStr">
        <is>
          <t>SHEET</t>
        </is>
      </c>
      <c r="H6" s="23" t="n">
        <v>15</v>
      </c>
      <c r="I6" s="30" t="n">
        <v>420</v>
      </c>
      <c r="J6" s="30" t="n">
        <v>-420</v>
      </c>
      <c r="K6" s="23" t="n">
        <v>-15</v>
      </c>
      <c r="L6" s="27" t="n">
        <v>74.5</v>
      </c>
      <c r="M6" s="27" t="n">
        <v>-31290</v>
      </c>
      <c r="N6" s="23" t="inlineStr">
        <is>
          <t>MC-03</t>
        </is>
      </c>
      <c r="O6" s="23" t="inlineStr">
        <is>
          <t>PER-011</t>
        </is>
      </c>
      <c r="P6" s="23" t="inlineStr">
        <is>
          <t>PRD-B07</t>
        </is>
      </c>
      <c r="Q6" s="30" t="n">
        <v>1723.6</v>
      </c>
      <c r="R6" s="36" t="n">
        <v>46489.39236111111</v>
      </c>
      <c r="S6" s="23" t="inlineStr"/>
    </row>
    <row r="7">
      <c r="A7" s="23" t="inlineStr">
        <is>
          <t>OFC-2728-000003</t>
        </is>
      </c>
      <c r="B7" s="35" t="n">
        <v>46490</v>
      </c>
      <c r="C7" s="23" t="inlineStr">
        <is>
          <t>RETURN-OFFCUT</t>
        </is>
      </c>
      <c r="D7" s="23" t="inlineStr">
        <is>
          <t>ISS-2728-000001</t>
        </is>
      </c>
      <c r="E7" s="23" t="inlineStr">
        <is>
          <t>GPSP-1.6</t>
        </is>
      </c>
      <c r="F7" s="23" t="inlineStr">
        <is>
          <t>GP-2728-0001</t>
        </is>
      </c>
      <c r="G7" s="23" t="inlineStr">
        <is>
          <t>OFFCUT</t>
        </is>
      </c>
      <c r="H7" s="23" t="n">
        <v>0</v>
      </c>
      <c r="I7" s="30" t="n">
        <v>18.4</v>
      </c>
      <c r="J7" s="30" t="n">
        <v>18.4</v>
      </c>
      <c r="K7" s="23" t="n">
        <v>0</v>
      </c>
      <c r="L7" s="27" t="n">
        <v>74.5</v>
      </c>
      <c r="M7" s="27" t="n">
        <v>1370.8</v>
      </c>
      <c r="N7" s="23" t="inlineStr"/>
      <c r="O7" s="23" t="inlineStr">
        <is>
          <t>PER-007</t>
        </is>
      </c>
      <c r="P7" s="23" t="inlineStr"/>
      <c r="Q7" s="30" t="n">
        <v>1104.5</v>
      </c>
      <c r="R7" s="36" t="n">
        <v>46490.71527777778</v>
      </c>
      <c r="S7" s="23" t="inlineStr"/>
    </row>
    <row r="8">
      <c r="A8" s="23" t="inlineStr">
        <is>
          <t>ISS-2728-000004</t>
        </is>
      </c>
      <c r="B8" s="35" t="n">
        <v>46490</v>
      </c>
      <c r="C8" s="23" t="inlineStr">
        <is>
          <t>ISSUE</t>
        </is>
      </c>
      <c r="D8" s="23" t="inlineStr">
        <is>
          <t>ISS-2728-000004</t>
        </is>
      </c>
      <c r="E8" s="23" t="inlineStr">
        <is>
          <t>HRCA-2.0</t>
        </is>
      </c>
      <c r="F8" s="23" t="inlineStr">
        <is>
          <t>HR-2728-0001</t>
        </is>
      </c>
      <c r="G8" s="23" t="inlineStr">
        <is>
          <t>SHEET</t>
        </is>
      </c>
      <c r="H8" s="23" t="n">
        <v>3</v>
      </c>
      <c r="I8" s="30" t="n">
        <v>214.9</v>
      </c>
      <c r="J8" s="30" t="n">
        <v>-214.9</v>
      </c>
      <c r="K8" s="23" t="n">
        <v>-3</v>
      </c>
      <c r="L8" s="27" t="n">
        <v>66.09999999999999</v>
      </c>
      <c r="M8" s="27" t="n">
        <v>-14204.89</v>
      </c>
      <c r="N8" s="23" t="inlineStr">
        <is>
          <t>MC-02</t>
        </is>
      </c>
      <c r="O8" s="23" t="inlineStr">
        <is>
          <t>PER-003</t>
        </is>
      </c>
      <c r="P8" s="23" t="inlineStr">
        <is>
          <t>PRD-C03</t>
        </is>
      </c>
      <c r="Q8" s="30" t="n">
        <v>640.2</v>
      </c>
      <c r="R8" s="36" t="n">
        <v>46490.41666666666</v>
      </c>
      <c r="S8" s="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zoomScale="90"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7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</cols>
  <sheetData>
    <row r="1">
      <c r="A1" s="15" t="inlineStr">
        <is>
          <t>CONSUMABLE RECEIPT REGISTER - values only</t>
        </is>
      </c>
    </row>
    <row r="2">
      <c r="A2" s="16" t="inlineStr">
        <is>
          <t>Purchases and the one-time OPENING lines.</t>
        </is>
      </c>
    </row>
    <row r="4" ht="30" customHeight="1">
      <c r="A4" s="21" t="inlineStr">
        <is>
          <t>Receipt ID</t>
        </is>
      </c>
      <c r="B4" s="21" t="inlineStr">
        <is>
          <t>Receipt Date</t>
        </is>
      </c>
      <c r="C4" s="21" t="inlineStr">
        <is>
          <t>Item ID</t>
        </is>
      </c>
      <c r="D4" s="21" t="inlineStr">
        <is>
          <t>Qty</t>
        </is>
      </c>
      <c r="E4" s="21" t="inlineStr">
        <is>
          <t>Bill Rate Rs</t>
        </is>
      </c>
      <c r="F4" s="21" t="inlineStr">
        <is>
          <t>Value Rs</t>
        </is>
      </c>
      <c r="G4" s="21" t="inlineStr">
        <is>
          <t>Receipt Type</t>
        </is>
      </c>
      <c r="H4" s="21" t="inlineStr">
        <is>
          <t>Supplier ID</t>
        </is>
      </c>
      <c r="I4" s="21" t="inlineStr">
        <is>
          <t>Bill No</t>
        </is>
      </c>
      <c r="J4" s="21" t="inlineStr">
        <is>
          <t>Posted At</t>
        </is>
      </c>
    </row>
    <row r="5">
      <c r="A5" s="23" t="inlineStr">
        <is>
          <t>CR-2728-000001</t>
        </is>
      </c>
      <c r="B5" s="35" t="n">
        <v>46478</v>
      </c>
      <c r="C5" s="23" t="inlineStr">
        <is>
          <t>ABR-001</t>
        </is>
      </c>
      <c r="D5" s="23" t="n">
        <v>120</v>
      </c>
      <c r="E5" s="27" t="n">
        <v>23.3</v>
      </c>
      <c r="F5" s="27">
        <f>ROUND(D5*E5,2)</f>
        <v/>
      </c>
      <c r="G5" s="23" t="inlineStr">
        <is>
          <t>OPENING</t>
        </is>
      </c>
      <c r="H5" s="23" t="inlineStr"/>
      <c r="I5" s="23" t="inlineStr"/>
      <c r="J5" s="36" t="n">
        <v>46478.375</v>
      </c>
    </row>
    <row r="6">
      <c r="A6" s="23" t="inlineStr">
        <is>
          <t>CR-2728-000002</t>
        </is>
      </c>
      <c r="B6" s="35" t="n">
        <v>46478</v>
      </c>
      <c r="C6" s="23" t="inlineStr">
        <is>
          <t>WLD-003</t>
        </is>
      </c>
      <c r="D6" s="23" t="n">
        <v>80</v>
      </c>
      <c r="E6" s="27" t="n">
        <v>148</v>
      </c>
      <c r="F6" s="27">
        <f>ROUND(D6*E6,2)</f>
        <v/>
      </c>
      <c r="G6" s="23" t="inlineStr">
        <is>
          <t>OPENING</t>
        </is>
      </c>
      <c r="H6" s="23" t="inlineStr"/>
      <c r="I6" s="23" t="inlineStr"/>
      <c r="J6" s="36" t="n">
        <v>46478.375</v>
      </c>
    </row>
    <row r="7">
      <c r="A7" s="23" t="inlineStr">
        <is>
          <t>CR-2728-000003</t>
        </is>
      </c>
      <c r="B7" s="35" t="n">
        <v>46478</v>
      </c>
      <c r="C7" s="23" t="inlineStr">
        <is>
          <t>GAS-001</t>
        </is>
      </c>
      <c r="D7" s="23" t="n">
        <v>150</v>
      </c>
      <c r="E7" s="27" t="n">
        <v>15</v>
      </c>
      <c r="F7" s="27">
        <f>ROUND(D7*E7,2)</f>
        <v/>
      </c>
      <c r="G7" s="23" t="inlineStr">
        <is>
          <t>OPENING</t>
        </is>
      </c>
      <c r="H7" s="23" t="inlineStr"/>
      <c r="I7" s="23" t="inlineStr"/>
      <c r="J7" s="36" t="n">
        <v>46478.375</v>
      </c>
    </row>
    <row r="8">
      <c r="A8" s="23" t="inlineStr">
        <is>
          <t>CR-2728-000004</t>
        </is>
      </c>
      <c r="B8" s="35" t="n">
        <v>46486</v>
      </c>
      <c r="C8" s="23" t="inlineStr">
        <is>
          <t>ABR-004</t>
        </is>
      </c>
      <c r="D8" s="23" t="n">
        <v>50</v>
      </c>
      <c r="E8" s="27" t="n">
        <v>64</v>
      </c>
      <c r="F8" s="27">
        <f>ROUND(D8*E8,2)</f>
        <v/>
      </c>
      <c r="G8" s="23" t="inlineStr">
        <is>
          <t>PURCHASE</t>
        </is>
      </c>
      <c r="H8" s="23" t="inlineStr">
        <is>
          <t>SUP-0020</t>
        </is>
      </c>
      <c r="I8" s="23" t="inlineStr">
        <is>
          <t>C-5512</t>
        </is>
      </c>
      <c r="J8" s="36" t="n">
        <v>46486.58333333334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zoomScale="90"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9" customWidth="1" min="4" max="4"/>
    <col width="7" customWidth="1" min="5" max="5"/>
    <col width="8" customWidth="1" min="6" max="6"/>
    <col width="7" customWidth="1" min="7" max="7"/>
    <col width="9" customWidth="1" min="8" max="8"/>
    <col width="8" customWidth="1" min="9" max="9"/>
    <col width="16" customWidth="1" min="10" max="10"/>
    <col width="12" customWidth="1" min="11" max="11"/>
  </cols>
  <sheetData>
    <row r="1">
      <c r="A1" s="15" t="inlineStr">
        <is>
          <t>CONSUMABLE ISSUE REGISTER - values only</t>
        </is>
      </c>
    </row>
    <row r="2">
      <c r="A2" s="16" t="inlineStr">
        <is>
          <t>Issues and returns as separate rows. Rate = average at posting (frozen).</t>
        </is>
      </c>
    </row>
    <row r="4" ht="30" customHeight="1">
      <c r="A4" s="21" t="inlineStr">
        <is>
          <t>Cons Move ID</t>
        </is>
      </c>
      <c r="B4" s="21" t="inlineStr">
        <is>
          <t>Move Date</t>
        </is>
      </c>
      <c r="C4" s="21" t="inlineStr">
        <is>
          <t>Movement</t>
        </is>
      </c>
      <c r="D4" s="21" t="inlineStr">
        <is>
          <t>Item ID</t>
        </is>
      </c>
      <c r="E4" s="21" t="inlineStr">
        <is>
          <t>Qty</t>
        </is>
      </c>
      <c r="F4" s="21" t="inlineStr">
        <is>
          <t>Stock Effect</t>
        </is>
      </c>
      <c r="G4" s="21" t="inlineStr">
        <is>
          <t>Rate Rs</t>
        </is>
      </c>
      <c r="H4" s="21" t="inlineStr">
        <is>
          <t>Value Rs</t>
        </is>
      </c>
      <c r="I4" s="21" t="inlineStr">
        <is>
          <t>Issued To</t>
        </is>
      </c>
      <c r="J4" s="21" t="inlineStr">
        <is>
          <t>Where Used</t>
        </is>
      </c>
      <c r="K4" s="21" t="inlineStr">
        <is>
          <t>Posted At</t>
        </is>
      </c>
    </row>
    <row r="5">
      <c r="A5" s="23" t="inlineStr">
        <is>
          <t>CI-2728-000001</t>
        </is>
      </c>
      <c r="B5" s="35" t="n">
        <v>46487</v>
      </c>
      <c r="C5" s="23" t="inlineStr">
        <is>
          <t>ISSUE</t>
        </is>
      </c>
      <c r="D5" s="23" t="inlineStr">
        <is>
          <t>ABR-001</t>
        </is>
      </c>
      <c r="E5" s="23" t="n">
        <v>40</v>
      </c>
      <c r="F5" s="23" t="n">
        <v>-40</v>
      </c>
      <c r="G5" s="27" t="n">
        <v>23.3</v>
      </c>
      <c r="H5" s="27" t="n">
        <v>-932</v>
      </c>
      <c r="I5" s="23" t="inlineStr">
        <is>
          <t>PER-007</t>
        </is>
      </c>
      <c r="J5" s="23" t="inlineStr">
        <is>
          <t>MC-01 SLTL Laser</t>
        </is>
      </c>
      <c r="K5" s="36" t="n">
        <v>46487.41666666666</v>
      </c>
    </row>
    <row r="6">
      <c r="A6" s="23" t="inlineStr">
        <is>
          <t>CI-2728-000002</t>
        </is>
      </c>
      <c r="B6" s="35" t="n">
        <v>46488</v>
      </c>
      <c r="C6" s="23" t="inlineStr">
        <is>
          <t>ISSUE</t>
        </is>
      </c>
      <c r="D6" s="23" t="inlineStr">
        <is>
          <t>GAS-001</t>
        </is>
      </c>
      <c r="E6" s="23" t="n">
        <v>120</v>
      </c>
      <c r="F6" s="23" t="n">
        <v>-120</v>
      </c>
      <c r="G6" s="27" t="n">
        <v>15</v>
      </c>
      <c r="H6" s="27" t="n">
        <v>-1800</v>
      </c>
      <c r="I6" s="23" t="inlineStr">
        <is>
          <t>PER-030</t>
        </is>
      </c>
      <c r="J6" s="23" t="inlineStr">
        <is>
          <t>Fabrication Bay</t>
        </is>
      </c>
      <c r="K6" s="36" t="n">
        <v>46488.375</v>
      </c>
    </row>
    <row r="7">
      <c r="A7" s="23" t="inlineStr">
        <is>
          <t>CI-2728-000003</t>
        </is>
      </c>
      <c r="B7" s="35" t="n">
        <v>46489</v>
      </c>
      <c r="C7" s="23" t="inlineStr">
        <is>
          <t>RETURN</t>
        </is>
      </c>
      <c r="D7" s="23" t="inlineStr">
        <is>
          <t>ABR-001</t>
        </is>
      </c>
      <c r="E7" s="23" t="n">
        <v>5</v>
      </c>
      <c r="F7" s="23" t="n">
        <v>5</v>
      </c>
      <c r="G7" s="27" t="n">
        <v>23.3</v>
      </c>
      <c r="H7" s="27" t="n">
        <v>116.5</v>
      </c>
      <c r="I7" s="23" t="inlineStr">
        <is>
          <t>PER-007</t>
        </is>
      </c>
      <c r="J7" s="23" t="inlineStr">
        <is>
          <t>MC-01 SLTL Laser</t>
        </is>
      </c>
      <c r="K7" s="36" t="n">
        <v>46489.70833333334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1" zoomScale="90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12" customWidth="1" min="4" max="4"/>
    <col width="9" customWidth="1" min="5" max="5"/>
    <col width="9" customWidth="1" min="6" max="6"/>
    <col width="9" customWidth="1" min="7" max="7"/>
    <col width="7" customWidth="1" min="8" max="8"/>
    <col width="9" customWidth="1" min="9" max="9"/>
    <col width="9" customWidth="1" min="10" max="10"/>
    <col width="16" customWidth="1" min="11" max="11"/>
    <col width="9" customWidth="1" min="12" max="12"/>
    <col width="9" customWidth="1" min="13" max="13"/>
    <col width="12" customWidth="1" min="14" max="14"/>
  </cols>
  <sheetData>
    <row r="1">
      <c r="A1" s="15" t="inlineStr">
        <is>
          <t>AUTHORISED STOCK ADJUSTMENT REGISTER</t>
        </is>
      </c>
    </row>
    <row r="2">
      <c r="A2" s="16" t="inlineStr">
        <is>
          <t>Approved corrections only - reason, reference, independent approver. Not a count module.</t>
        </is>
      </c>
    </row>
    <row r="4" ht="30" customHeight="1">
      <c r="A4" s="21" t="inlineStr">
        <is>
          <t>Adj ID</t>
        </is>
      </c>
      <c r="B4" s="21" t="inlineStr">
        <is>
          <t>Adj Date</t>
        </is>
      </c>
      <c r="C4" s="21" t="inlineStr">
        <is>
          <t>Stock Type</t>
        </is>
      </c>
      <c r="D4" s="21" t="inlineStr">
        <is>
          <t>Lot / Item ID</t>
        </is>
      </c>
      <c r="E4" s="21" t="inlineStr">
        <is>
          <t>Direction</t>
        </is>
      </c>
      <c r="F4" s="21" t="inlineStr">
        <is>
          <t>Adj kg / Qty</t>
        </is>
      </c>
      <c r="G4" s="21" t="inlineStr">
        <is>
          <t>Signed kg</t>
        </is>
      </c>
      <c r="H4" s="21" t="inlineStr">
        <is>
          <t>Rate Rs</t>
        </is>
      </c>
      <c r="I4" s="21" t="inlineStr">
        <is>
          <t>Value Rs</t>
        </is>
      </c>
      <c r="J4" s="21" t="inlineStr">
        <is>
          <t>Reason Code</t>
        </is>
      </c>
      <c r="K4" s="21" t="inlineStr">
        <is>
          <t>Reference</t>
        </is>
      </c>
      <c r="L4" s="21" t="inlineStr">
        <is>
          <t>Requested By</t>
        </is>
      </c>
      <c r="M4" s="21" t="inlineStr">
        <is>
          <t>Approved By</t>
        </is>
      </c>
      <c r="N4" s="21" t="inlineStr">
        <is>
          <t>Posted At</t>
        </is>
      </c>
    </row>
    <row r="5">
      <c r="A5" s="23" t="inlineStr">
        <is>
          <t>ADJ-2728-00001</t>
        </is>
      </c>
      <c r="B5" s="35" t="n">
        <v>46491</v>
      </c>
      <c r="C5" s="23" t="inlineStr">
        <is>
          <t>RM-LOT</t>
        </is>
      </c>
      <c r="D5" s="23" t="inlineStr">
        <is>
          <t>GP-2728-0002</t>
        </is>
      </c>
      <c r="E5" s="23" t="inlineStr">
        <is>
          <t>DECREASE</t>
        </is>
      </c>
      <c r="F5" s="30" t="n">
        <v>4.2</v>
      </c>
      <c r="G5" s="30">
        <f>IF(E5="DECREASE",-F5,F5)</f>
        <v/>
      </c>
      <c r="H5" s="27" t="n">
        <v>74.5</v>
      </c>
      <c r="I5" s="27">
        <f>ROUND(G5*H5,2)</f>
        <v/>
      </c>
      <c r="J5" s="23" t="inlineStr">
        <is>
          <t>ADJ-WGT</t>
        </is>
      </c>
      <c r="K5" s="23" t="inlineStr">
        <is>
          <t>Weighbridge slip WB-118</t>
        </is>
      </c>
      <c r="L5" s="23" t="inlineStr">
        <is>
          <t>PER-015</t>
        </is>
      </c>
      <c r="M5" s="23" t="inlineStr">
        <is>
          <t>PER-018</t>
        </is>
      </c>
      <c r="N5" s="36" t="n">
        <v>46491.5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zoomScale="9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9" customWidth="1" min="8" max="8"/>
    <col width="18" customWidth="1" min="9" max="9"/>
  </cols>
  <sheetData>
    <row r="1">
      <c r="A1" s="15" t="inlineStr">
        <is>
          <t>PO STATUS - open PO lines (calculated)</t>
        </is>
      </c>
    </row>
    <row r="2">
      <c r="A2" s="16" t="inlineStr">
        <is>
          <t>Ordered vs received; overdue lines feed the MIS exception list.</t>
        </is>
      </c>
    </row>
    <row r="4" ht="30" customHeight="1">
      <c r="A4" s="21" t="inlineStr">
        <is>
          <t>PO Line ID</t>
        </is>
      </c>
      <c r="B4" s="21" t="inlineStr">
        <is>
          <t>Supplier ID</t>
        </is>
      </c>
      <c r="C4" s="21" t="inlineStr">
        <is>
          <t>Item ID</t>
        </is>
      </c>
      <c r="D4" s="21" t="inlineStr">
        <is>
          <t>Ordered kg</t>
        </is>
      </c>
      <c r="E4" s="21" t="inlineStr">
        <is>
          <t>Received kg</t>
        </is>
      </c>
      <c r="F4" s="21" t="inlineStr">
        <is>
          <t>Pending kg</t>
        </is>
      </c>
      <c r="G4" s="21" t="inlineStr">
        <is>
          <t>Due Date</t>
        </is>
      </c>
      <c r="H4" s="21" t="inlineStr">
        <is>
          <t>Overdue Days</t>
        </is>
      </c>
      <c r="I4" s="21" t="inlineStr">
        <is>
          <t>Status</t>
        </is>
      </c>
    </row>
    <row r="5">
      <c r="A5" s="22" t="inlineStr">
        <is>
          <t>PO/27-28/001-01</t>
        </is>
      </c>
      <c r="B5" s="22">
        <f>INDEX('PO Header Register'!$C$5:$C$400,MATCH(LEFT(A5,12),'PO Header Register'!$A$5:$A$400,0))</f>
        <v/>
      </c>
      <c r="C5" s="22">
        <f>INDEX('PO Line Register'!$C$5:$C$400,MATCH(A5,'PO Line Register'!$A$5:$A$400,0))</f>
        <v/>
      </c>
      <c r="D5" s="32">
        <f>INDEX('PO Line Register'!$H$5:$H$400,MATCH(A5,'PO Line Register'!$A$5:$A$400,0))</f>
        <v/>
      </c>
      <c r="E5" s="30">
        <f>SUMIFS('GRN Register'!$N$5:$N$400,'GRN Register'!$F$5:$F$400,A5)</f>
        <v/>
      </c>
      <c r="F5" s="30">
        <f>MAX(0,D5-E5)</f>
        <v/>
      </c>
      <c r="G5" s="37">
        <f>INDEX('PO Line Register'!$L$5:$L$400,MATCH(A5,'PO Line Register'!$A$5:$A$400,0))</f>
        <v/>
      </c>
      <c r="H5" s="23">
        <f>IF(F5&gt;0,MAX(0,'Settings'!$B$7-G5),0)</f>
        <v/>
      </c>
      <c r="I5" s="29">
        <f>IF(F5=0,"CLOSED - fully received",IF(H5&gt;0,"OVERDUE "&amp;H5&amp;" d","OK"))</f>
        <v/>
      </c>
    </row>
    <row r="6">
      <c r="A6" s="22" t="inlineStr">
        <is>
          <t>PO/27-28/001-02</t>
        </is>
      </c>
      <c r="B6" s="22">
        <f>INDEX('PO Header Register'!$C$5:$C$400,MATCH(LEFT(A6,12),'PO Header Register'!$A$5:$A$400,0))</f>
        <v/>
      </c>
      <c r="C6" s="22">
        <f>INDEX('PO Line Register'!$C$5:$C$400,MATCH(A6,'PO Line Register'!$A$5:$A$400,0))</f>
        <v/>
      </c>
      <c r="D6" s="32">
        <f>INDEX('PO Line Register'!$H$5:$H$400,MATCH(A6,'PO Line Register'!$A$5:$A$400,0))</f>
        <v/>
      </c>
      <c r="E6" s="30">
        <f>SUMIFS('GRN Register'!$N$5:$N$400,'GRN Register'!$F$5:$F$400,A6)</f>
        <v/>
      </c>
      <c r="F6" s="30">
        <f>MAX(0,D6-E6)</f>
        <v/>
      </c>
      <c r="G6" s="37">
        <f>INDEX('PO Line Register'!$L$5:$L$400,MATCH(A6,'PO Line Register'!$A$5:$A$400,0))</f>
        <v/>
      </c>
      <c r="H6" s="23">
        <f>IF(F6&gt;0,MAX(0,'Settings'!$B$7-G6),0)</f>
        <v/>
      </c>
      <c r="I6" s="29">
        <f>IF(F6=0,"CLOSED - fully received",IF(H6&gt;0,"OVERDUE "&amp;H6&amp;" d","OK"))</f>
        <v/>
      </c>
    </row>
    <row r="7">
      <c r="A7" s="22" t="inlineStr">
        <is>
          <t>PO/27-28/002-01</t>
        </is>
      </c>
      <c r="B7" s="22">
        <f>INDEX('PO Header Register'!$C$5:$C$400,MATCH(LEFT(A7,12),'PO Header Register'!$A$5:$A$400,0))</f>
        <v/>
      </c>
      <c r="C7" s="22">
        <f>INDEX('PO Line Register'!$C$5:$C$400,MATCH(A7,'PO Line Register'!$A$5:$A$400,0))</f>
        <v/>
      </c>
      <c r="D7" s="32">
        <f>INDEX('PO Line Register'!$H$5:$H$400,MATCH(A7,'PO Line Register'!$A$5:$A$400,0))</f>
        <v/>
      </c>
      <c r="E7" s="30">
        <f>SUMIFS('GRN Register'!$N$5:$N$400,'GRN Register'!$F$5:$F$400,A7)</f>
        <v/>
      </c>
      <c r="F7" s="30">
        <f>MAX(0,D7-E7)</f>
        <v/>
      </c>
      <c r="G7" s="37">
        <f>INDEX('PO Line Register'!$L$5:$L$400,MATCH(A7,'PO Line Register'!$A$5:$A$400,0))</f>
        <v/>
      </c>
      <c r="H7" s="23">
        <f>IF(F7&gt;0,MAX(0,'Settings'!$B$7-G7),0)</f>
        <v/>
      </c>
      <c r="I7" s="29">
        <f>IF(F7=0,"CLOSED - fully received",IF(H7&gt;0,"OVERDUE "&amp;H7&amp;" d","OK"))</f>
        <v/>
      </c>
    </row>
  </sheetData>
  <conditionalFormatting sqref="I5:I7">
    <cfRule type="expression" priority="1" dxfId="0" stopIfTrue="1">
      <formula>OR(LEFT(I5,5)="READY",I5="OK",LEFT(I5,6)="CLOSED")</formula>
    </cfRule>
    <cfRule type="expression" priority="2" dxfId="1" stopIfTrue="1">
      <formula>OR(LEFT(I5,4)="WARN",LEFT(I5,2)="IN",LEFT(I5,3)="NOT",LEFT(I5,7)="REORDER",LEFT(I5,5)="STALE",LEFT(I5,4)="PART",LEFT(I5,7)="PENDING",LEFT(I5,5)="READY")</formula>
    </cfRule>
    <cfRule type="expression" priority="3" dxfId="2">
      <formula>LEN(I5)&gt;0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9"/>
  <sheetViews>
    <sheetView showGridLines="1" zoomScale="90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15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8" customWidth="1" min="10" max="10"/>
    <col width="10" customWidth="1" min="11" max="11"/>
    <col width="8" customWidth="1" min="12" max="12"/>
    <col width="7" customWidth="1" min="13" max="13"/>
    <col width="11" customWidth="1" min="14" max="14"/>
    <col width="7" customWidth="1" min="15" max="15"/>
    <col width="18" customWidth="1" min="16" max="16"/>
  </cols>
  <sheetData>
    <row r="1">
      <c r="A1" s="15" t="inlineStr">
        <is>
          <t>LOT BALANCE - open lots, oldest first (calculated)</t>
        </is>
      </c>
    </row>
    <row r="2">
      <c r="A2" s="16" t="inlineStr">
        <is>
          <t>Rebuilt after posting (Refresh All). Every issue check reads this sheet.</t>
        </is>
      </c>
    </row>
    <row r="3">
      <c r="A3" s="33" t="inlineStr">
        <is>
          <t>Rows at refresh</t>
        </is>
      </c>
      <c r="B3" s="38" t="n">
        <v>4</v>
      </c>
      <c r="C3" s="33" t="inlineStr">
        <is>
          <t>Live rows</t>
        </is>
      </c>
      <c r="D3" s="38">
        <f>COUNTA('RM Move Register'!$A$5:$A$400)</f>
        <v/>
      </c>
      <c r="E3" s="34">
        <f>IF(D3=B3,"OK","STALE - Refresh All")</f>
        <v/>
      </c>
    </row>
    <row r="4" ht="30" customHeight="1">
      <c r="A4" s="21" t="inlineStr">
        <is>
          <t>Lot ID</t>
        </is>
      </c>
      <c r="B4" s="21" t="inlineStr">
        <is>
          <t>Material ID</t>
        </is>
      </c>
      <c r="C4" s="21" t="inlineStr">
        <is>
          <t>GRN Date</t>
        </is>
      </c>
      <c r="D4" s="21" t="inlineStr">
        <is>
          <t>QC Status</t>
        </is>
      </c>
      <c r="E4" s="21" t="inlineStr">
        <is>
          <t>Issue Eligible</t>
        </is>
      </c>
      <c r="F4" s="21" t="inlineStr">
        <is>
          <t>Accepted kg</t>
        </is>
      </c>
      <c r="G4" s="21" t="inlineStr">
        <is>
          <t>Accepted Sh</t>
        </is>
      </c>
      <c r="H4" s="21" t="inlineStr">
        <is>
          <t>Movement kg</t>
        </is>
      </c>
      <c r="I4" s="21" t="inlineStr">
        <is>
          <t>Movement Sh</t>
        </is>
      </c>
      <c r="J4" s="21" t="inlineStr">
        <is>
          <t>Adjust kg</t>
        </is>
      </c>
      <c r="K4" s="21" t="inlineStr">
        <is>
          <t>Available kg</t>
        </is>
      </c>
      <c r="L4" s="21" t="inlineStr">
        <is>
          <t>Available Sh</t>
        </is>
      </c>
      <c r="M4" s="21" t="inlineStr">
        <is>
          <t>Rate Rs</t>
        </is>
      </c>
      <c r="N4" s="21" t="inlineStr">
        <is>
          <t>Value Rs</t>
        </is>
      </c>
      <c r="O4" s="21" t="inlineStr">
        <is>
          <t>Age Days</t>
        </is>
      </c>
      <c r="P4" s="21" t="inlineStr">
        <is>
          <t>Status</t>
        </is>
      </c>
    </row>
    <row r="5">
      <c r="A5" s="22" t="inlineStr">
        <is>
          <t>HR-2728-0001</t>
        </is>
      </c>
      <c r="B5" s="22">
        <f>INDEX('GRN Register'!$G$5:$G$400,MATCH(A5,'GRN Register'!$A$5:$A$400,0))</f>
        <v/>
      </c>
      <c r="C5" s="37">
        <f>INDEX('GRN Register'!$B$5:$B$400,MATCH(A5,'GRN Register'!$A$5:$A$400,0))</f>
        <v/>
      </c>
      <c r="D5" s="22">
        <f>IFERROR(INDEX('Lot QC Register'!$D$5:$D$400,MATCH(A5,'Lot QC Register'!$B$5:$B$400,0)),"PENDING")</f>
        <v/>
      </c>
      <c r="E5" s="23">
        <f>IF(OR(D5="ACCEPTED",D5="ACCEPTED WITH REJECTION"),"Yes","No")</f>
        <v/>
      </c>
      <c r="F5" s="30">
        <f>SUMIFS('Lot QC Register'!$I$5:$I$400,'Lot QC Register'!$B$5:$B$400,A5)</f>
        <v/>
      </c>
      <c r="G5" s="23">
        <f>SUMIFS('Lot QC Register'!$J$5:$J$400,'Lot QC Register'!$B$5:$B$400,A5)</f>
        <v/>
      </c>
      <c r="H5" s="30">
        <f>SUMIFS('RM Move Register'!$J$5:$J$400,'RM Move Register'!$F$5:$F$400,A5)</f>
        <v/>
      </c>
      <c r="I5" s="23">
        <f>SUMIFS('RM Move Register'!$K$5:$K$400,'RM Move Register'!$F$5:$F$400,A5)</f>
        <v/>
      </c>
      <c r="J5" s="30">
        <f>SUMIFS('Adjust Register'!$G$5:$G$400,'Adjust Register'!$D$5:$D$400,A5)</f>
        <v/>
      </c>
      <c r="K5" s="39">
        <f>ROUND(F5+H5+J5,3)</f>
        <v/>
      </c>
      <c r="L5" s="40">
        <f>G5+I5</f>
        <v/>
      </c>
      <c r="M5" s="41">
        <f>INDEX('GRN Register'!$Q$5:$Q$400,MATCH(A5,'GRN Register'!$A$5:$A$400,0))</f>
        <v/>
      </c>
      <c r="N5" s="27">
        <f>ROUND(K5*M5,2)</f>
        <v/>
      </c>
      <c r="O5" s="23">
        <f>'Settings'!$B$7-C5</f>
        <v/>
      </c>
      <c r="P5" s="29">
        <f>IF(K5&lt;0,"BREACH - negative",IF(E5="No","NOT ISSUE-ELIGIBLE",IF(O5&gt;90,"WARN: over 90 days","OK")))</f>
        <v/>
      </c>
    </row>
    <row r="6">
      <c r="A6" s="22" t="inlineStr">
        <is>
          <t>GP-2728-0001</t>
        </is>
      </c>
      <c r="B6" s="22">
        <f>INDEX('GRN Register'!$G$5:$G$400,MATCH(A6,'GRN Register'!$A$5:$A$400,0))</f>
        <v/>
      </c>
      <c r="C6" s="37">
        <f>INDEX('GRN Register'!$B$5:$B$400,MATCH(A6,'GRN Register'!$A$5:$A$400,0))</f>
        <v/>
      </c>
      <c r="D6" s="22">
        <f>IFERROR(INDEX('Lot QC Register'!$D$5:$D$400,MATCH(A6,'Lot QC Register'!$B$5:$B$400,0)),"PENDING")</f>
        <v/>
      </c>
      <c r="E6" s="23">
        <f>IF(OR(D6="ACCEPTED",D6="ACCEPTED WITH REJECTION"),"Yes","No")</f>
        <v/>
      </c>
      <c r="F6" s="30">
        <f>SUMIFS('Lot QC Register'!$I$5:$I$400,'Lot QC Register'!$B$5:$B$400,A6)</f>
        <v/>
      </c>
      <c r="G6" s="23">
        <f>SUMIFS('Lot QC Register'!$J$5:$J$400,'Lot QC Register'!$B$5:$B$400,A6)</f>
        <v/>
      </c>
      <c r="H6" s="30">
        <f>SUMIFS('RM Move Register'!$J$5:$J$400,'RM Move Register'!$F$5:$F$400,A6)</f>
        <v/>
      </c>
      <c r="I6" s="23">
        <f>SUMIFS('RM Move Register'!$K$5:$K$400,'RM Move Register'!$F$5:$F$400,A6)</f>
        <v/>
      </c>
      <c r="J6" s="30">
        <f>SUMIFS('Adjust Register'!$G$5:$G$400,'Adjust Register'!$D$5:$D$400,A6)</f>
        <v/>
      </c>
      <c r="K6" s="39">
        <f>ROUND(F6+H6+J6,3)</f>
        <v/>
      </c>
      <c r="L6" s="40">
        <f>G6+I6</f>
        <v/>
      </c>
      <c r="M6" s="41">
        <f>INDEX('GRN Register'!$Q$5:$Q$400,MATCH(A6,'GRN Register'!$A$5:$A$400,0))</f>
        <v/>
      </c>
      <c r="N6" s="27">
        <f>ROUND(K6*M6,2)</f>
        <v/>
      </c>
      <c r="O6" s="23">
        <f>'Settings'!$B$7-C6</f>
        <v/>
      </c>
      <c r="P6" s="29">
        <f>IF(K6&lt;0,"BREACH - negative",IF(E6="No","NOT ISSUE-ELIGIBLE",IF(O6&gt;90,"WARN: over 90 days","OK")))</f>
        <v/>
      </c>
    </row>
    <row r="7">
      <c r="A7" s="22" t="inlineStr">
        <is>
          <t>GP-2728-0002</t>
        </is>
      </c>
      <c r="B7" s="22">
        <f>INDEX('GRN Register'!$G$5:$G$400,MATCH(A7,'GRN Register'!$A$5:$A$400,0))</f>
        <v/>
      </c>
      <c r="C7" s="37">
        <f>INDEX('GRN Register'!$B$5:$B$400,MATCH(A7,'GRN Register'!$A$5:$A$400,0))</f>
        <v/>
      </c>
      <c r="D7" s="22">
        <f>IFERROR(INDEX('Lot QC Register'!$D$5:$D$400,MATCH(A7,'Lot QC Register'!$B$5:$B$400,0)),"PENDING")</f>
        <v/>
      </c>
      <c r="E7" s="23">
        <f>IF(OR(D7="ACCEPTED",D7="ACCEPTED WITH REJECTION"),"Yes","No")</f>
        <v/>
      </c>
      <c r="F7" s="30">
        <f>SUMIFS('Lot QC Register'!$I$5:$I$400,'Lot QC Register'!$B$5:$B$400,A7)</f>
        <v/>
      </c>
      <c r="G7" s="23">
        <f>SUMIFS('Lot QC Register'!$J$5:$J$400,'Lot QC Register'!$B$5:$B$400,A7)</f>
        <v/>
      </c>
      <c r="H7" s="30">
        <f>SUMIFS('RM Move Register'!$J$5:$J$400,'RM Move Register'!$F$5:$F$400,A7)</f>
        <v/>
      </c>
      <c r="I7" s="23">
        <f>SUMIFS('RM Move Register'!$K$5:$K$400,'RM Move Register'!$F$5:$F$400,A7)</f>
        <v/>
      </c>
      <c r="J7" s="30">
        <f>SUMIFS('Adjust Register'!$G$5:$G$400,'Adjust Register'!$D$5:$D$400,A7)</f>
        <v/>
      </c>
      <c r="K7" s="39">
        <f>ROUND(F7+H7+J7,3)</f>
        <v/>
      </c>
      <c r="L7" s="40">
        <f>G7+I7</f>
        <v/>
      </c>
      <c r="M7" s="41">
        <f>INDEX('GRN Register'!$Q$5:$Q$400,MATCH(A7,'GRN Register'!$A$5:$A$400,0))</f>
        <v/>
      </c>
      <c r="N7" s="27">
        <f>ROUND(K7*M7,2)</f>
        <v/>
      </c>
      <c r="O7" s="23">
        <f>'Settings'!$B$7-C7</f>
        <v/>
      </c>
      <c r="P7" s="29">
        <f>IF(K7&lt;0,"BREACH - negative",IF(E7="No","NOT ISSUE-ELIGIBLE",IF(O7&gt;90,"WARN: over 90 days","OK")))</f>
        <v/>
      </c>
    </row>
    <row r="8">
      <c r="A8" s="22" t="inlineStr">
        <is>
          <t>CR-2728-0001</t>
        </is>
      </c>
      <c r="B8" s="22">
        <f>INDEX('GRN Register'!$G$5:$G$400,MATCH(A8,'GRN Register'!$A$5:$A$400,0))</f>
        <v/>
      </c>
      <c r="C8" s="37">
        <f>INDEX('GRN Register'!$B$5:$B$400,MATCH(A8,'GRN Register'!$A$5:$A$400,0))</f>
        <v/>
      </c>
      <c r="D8" s="22">
        <f>IFERROR(INDEX('Lot QC Register'!$D$5:$D$400,MATCH(A8,'Lot QC Register'!$B$5:$B$400,0)),"PENDING")</f>
        <v/>
      </c>
      <c r="E8" s="23">
        <f>IF(OR(D8="ACCEPTED",D8="ACCEPTED WITH REJECTION"),"Yes","No")</f>
        <v/>
      </c>
      <c r="F8" s="30">
        <f>SUMIFS('Lot QC Register'!$I$5:$I$400,'Lot QC Register'!$B$5:$B$400,A8)</f>
        <v/>
      </c>
      <c r="G8" s="23">
        <f>SUMIFS('Lot QC Register'!$J$5:$J$400,'Lot QC Register'!$B$5:$B$400,A8)</f>
        <v/>
      </c>
      <c r="H8" s="30">
        <f>SUMIFS('RM Move Register'!$J$5:$J$400,'RM Move Register'!$F$5:$F$400,A8)</f>
        <v/>
      </c>
      <c r="I8" s="23">
        <f>SUMIFS('RM Move Register'!$K$5:$K$400,'RM Move Register'!$F$5:$F$400,A8)</f>
        <v/>
      </c>
      <c r="J8" s="30">
        <f>SUMIFS('Adjust Register'!$G$5:$G$400,'Adjust Register'!$D$5:$D$400,A8)</f>
        <v/>
      </c>
      <c r="K8" s="39">
        <f>ROUND(F8+H8+J8,3)</f>
        <v/>
      </c>
      <c r="L8" s="40">
        <f>G8+I8</f>
        <v/>
      </c>
      <c r="M8" s="41">
        <f>INDEX('GRN Register'!$Q$5:$Q$400,MATCH(A8,'GRN Register'!$A$5:$A$400,0))</f>
        <v/>
      </c>
      <c r="N8" s="27">
        <f>ROUND(K8*M8,2)</f>
        <v/>
      </c>
      <c r="O8" s="23">
        <f>'Settings'!$B$7-C8</f>
        <v/>
      </c>
      <c r="P8" s="29">
        <f>IF(K8&lt;0,"BREACH - negative",IF(E8="No","NOT ISSUE-ELIGIBLE",IF(O8&gt;90,"WARN: over 90 days","OK")))</f>
        <v/>
      </c>
    </row>
    <row r="9">
      <c r="A9" s="22" t="inlineStr">
        <is>
          <t>GP-2728-0003</t>
        </is>
      </c>
      <c r="B9" s="22">
        <f>INDEX('GRN Register'!$G$5:$G$400,MATCH(A9,'GRN Register'!$A$5:$A$400,0))</f>
        <v/>
      </c>
      <c r="C9" s="37">
        <f>INDEX('GRN Register'!$B$5:$B$400,MATCH(A9,'GRN Register'!$A$5:$A$400,0))</f>
        <v/>
      </c>
      <c r="D9" s="22">
        <f>IFERROR(INDEX('Lot QC Register'!$D$5:$D$400,MATCH(A9,'Lot QC Register'!$B$5:$B$400,0)),"PENDING")</f>
        <v/>
      </c>
      <c r="E9" s="23">
        <f>IF(OR(D9="ACCEPTED",D9="ACCEPTED WITH REJECTION"),"Yes","No")</f>
        <v/>
      </c>
      <c r="F9" s="30">
        <f>SUMIFS('Lot QC Register'!$I$5:$I$400,'Lot QC Register'!$B$5:$B$400,A9)</f>
        <v/>
      </c>
      <c r="G9" s="23">
        <f>SUMIFS('Lot QC Register'!$J$5:$J$400,'Lot QC Register'!$B$5:$B$400,A9)</f>
        <v/>
      </c>
      <c r="H9" s="30">
        <f>SUMIFS('RM Move Register'!$J$5:$J$400,'RM Move Register'!$F$5:$F$400,A9)</f>
        <v/>
      </c>
      <c r="I9" s="23">
        <f>SUMIFS('RM Move Register'!$K$5:$K$400,'RM Move Register'!$F$5:$F$400,A9)</f>
        <v/>
      </c>
      <c r="J9" s="30">
        <f>SUMIFS('Adjust Register'!$G$5:$G$400,'Adjust Register'!$D$5:$D$400,A9)</f>
        <v/>
      </c>
      <c r="K9" s="39">
        <f>ROUND(F9+H9+J9,3)</f>
        <v/>
      </c>
      <c r="L9" s="40">
        <f>G9+I9</f>
        <v/>
      </c>
      <c r="M9" s="41">
        <f>INDEX('GRN Register'!$Q$5:$Q$400,MATCH(A9,'GRN Register'!$A$5:$A$400,0))</f>
        <v/>
      </c>
      <c r="N9" s="27">
        <f>ROUND(K9*M9,2)</f>
        <v/>
      </c>
      <c r="O9" s="23">
        <f>'Settings'!$B$7-C9</f>
        <v/>
      </c>
      <c r="P9" s="29">
        <f>IF(K9&lt;0,"BREACH - negative",IF(E9="No","NOT ISSUE-ELIGIBLE",IF(O9&gt;90,"WARN: over 90 days","OK")))</f>
        <v/>
      </c>
    </row>
  </sheetData>
  <conditionalFormatting sqref="P5:P9">
    <cfRule type="expression" priority="1" dxfId="0" stopIfTrue="1">
      <formula>OR(LEFT(P5,5)="READY",P5="OK",LEFT(P5,6)="CLOSED")</formula>
    </cfRule>
    <cfRule type="expression" priority="2" dxfId="1" stopIfTrue="1">
      <formula>OR(LEFT(P5,4)="WARN",LEFT(P5,2)="IN",LEFT(P5,3)="NOT",LEFT(P5,7)="REORDER",LEFT(P5,5)="STALE",LEFT(P5,4)="PART",LEFT(P5,7)="PENDING",LEFT(P5,5)="READY")</formula>
    </cfRule>
    <cfRule type="expression" priority="3" dxfId="2">
      <formula>LEN(P5)&gt;0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1" zoomScale="90"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7" customWidth="1" min="10" max="10"/>
    <col width="14" customWidth="1" min="11" max="11"/>
  </cols>
  <sheetData>
    <row r="1">
      <c r="A1" s="15" t="inlineStr">
        <is>
          <t>CONSUMABLE BALANCE (calculated)</t>
        </is>
      </c>
    </row>
    <row r="2">
      <c r="A2" s="16" t="inlineStr">
        <is>
          <t>Stock = receipts + net issues + approved adjustments. Re-order flag from minimum level.</t>
        </is>
      </c>
    </row>
    <row r="4" ht="30" customHeight="1">
      <c r="A4" s="21" t="inlineStr">
        <is>
          <t>Item ID</t>
        </is>
      </c>
      <c r="B4" s="21" t="inlineStr">
        <is>
          <t>Item Name</t>
        </is>
      </c>
      <c r="C4" s="21" t="inlineStr">
        <is>
          <t>Unit</t>
        </is>
      </c>
      <c r="D4" s="21" t="inlineStr">
        <is>
          <t>Received</t>
        </is>
      </c>
      <c r="E4" s="21" t="inlineStr">
        <is>
          <t>Net Issued</t>
        </is>
      </c>
      <c r="F4" s="21" t="inlineStr">
        <is>
          <t>Adjusted</t>
        </is>
      </c>
      <c r="G4" s="21" t="inlineStr">
        <is>
          <t>Balance</t>
        </is>
      </c>
      <c r="H4" s="21" t="inlineStr">
        <is>
          <t>Avg Rate Rs</t>
        </is>
      </c>
      <c r="I4" s="21" t="inlineStr">
        <is>
          <t>Value Rs</t>
        </is>
      </c>
      <c r="J4" s="21" t="inlineStr">
        <is>
          <t>Min Level</t>
        </is>
      </c>
      <c r="K4" s="21" t="inlineStr">
        <is>
          <t>Status</t>
        </is>
      </c>
    </row>
    <row r="5">
      <c r="A5" s="22" t="inlineStr">
        <is>
          <t>ABR-001</t>
        </is>
      </c>
      <c r="B5" s="22">
        <f>INDEX('M_Consumable'!$B$5:$B$50,MATCH(A5,'M_Consumable'!$A$5:$A$50,0))</f>
        <v/>
      </c>
      <c r="C5" s="22">
        <f>INDEX('M_Consumable'!$D$5:$D$50,MATCH(A5,'M_Consumable'!$A$5:$A$50,0))</f>
        <v/>
      </c>
      <c r="D5" s="23">
        <f>SUMIFS('Cons Receipt Register'!$D$5:$D$400,'Cons Receipt Register'!$C$5:$C$400,A5)</f>
        <v/>
      </c>
      <c r="E5" s="23">
        <f>SUMIFS('Cons Issue Register'!$F$5:$F$400,'Cons Issue Register'!$D$5:$D$400,A5)</f>
        <v/>
      </c>
      <c r="F5" s="23">
        <f>SUMIFS('Adjust Register'!$G$5:$G$400,'Adjust Register'!$D$5:$D$400,A5)</f>
        <v/>
      </c>
      <c r="G5" s="40">
        <f>D5+E5+F5</f>
        <v/>
      </c>
      <c r="H5" s="27">
        <f>IFERROR(SUMIFS('Cons Receipt Register'!$F$5:$F$400,'Cons Receipt Register'!$C$5:$C$400,A5)/D5,0)</f>
        <v/>
      </c>
      <c r="I5" s="27">
        <f>ROUND(G5*H5,2)</f>
        <v/>
      </c>
      <c r="J5" s="22">
        <f>INDEX('M_Consumable'!$E$5:$E$50,MATCH(A5,'M_Consumable'!$A$5:$A$50,0))</f>
        <v/>
      </c>
      <c r="K5" s="29">
        <f>IF(G5&lt;0,"NEGATIVE",IF(G5&lt;=J5,"REORDER","OK"))</f>
        <v/>
      </c>
    </row>
    <row r="6">
      <c r="A6" s="22" t="inlineStr">
        <is>
          <t>ABR-004</t>
        </is>
      </c>
      <c r="B6" s="22">
        <f>INDEX('M_Consumable'!$B$5:$B$50,MATCH(A6,'M_Consumable'!$A$5:$A$50,0))</f>
        <v/>
      </c>
      <c r="C6" s="22">
        <f>INDEX('M_Consumable'!$D$5:$D$50,MATCH(A6,'M_Consumable'!$A$5:$A$50,0))</f>
        <v/>
      </c>
      <c r="D6" s="23">
        <f>SUMIFS('Cons Receipt Register'!$D$5:$D$400,'Cons Receipt Register'!$C$5:$C$400,A6)</f>
        <v/>
      </c>
      <c r="E6" s="23">
        <f>SUMIFS('Cons Issue Register'!$F$5:$F$400,'Cons Issue Register'!$D$5:$D$400,A6)</f>
        <v/>
      </c>
      <c r="F6" s="23">
        <f>SUMIFS('Adjust Register'!$G$5:$G$400,'Adjust Register'!$D$5:$D$400,A6)</f>
        <v/>
      </c>
      <c r="G6" s="40">
        <f>D6+E6+F6</f>
        <v/>
      </c>
      <c r="H6" s="27">
        <f>IFERROR(SUMIFS('Cons Receipt Register'!$F$5:$F$400,'Cons Receipt Register'!$C$5:$C$400,A6)/D6,0)</f>
        <v/>
      </c>
      <c r="I6" s="27">
        <f>ROUND(G6*H6,2)</f>
        <v/>
      </c>
      <c r="J6" s="22">
        <f>INDEX('M_Consumable'!$E$5:$E$50,MATCH(A6,'M_Consumable'!$A$5:$A$50,0))</f>
        <v/>
      </c>
      <c r="K6" s="29">
        <f>IF(G6&lt;0,"NEGATIVE",IF(G6&lt;=J6,"REORDER","OK"))</f>
        <v/>
      </c>
    </row>
    <row r="7">
      <c r="A7" s="22" t="inlineStr">
        <is>
          <t>WLD-003</t>
        </is>
      </c>
      <c r="B7" s="22">
        <f>INDEX('M_Consumable'!$B$5:$B$50,MATCH(A7,'M_Consumable'!$A$5:$A$50,0))</f>
        <v/>
      </c>
      <c r="C7" s="22">
        <f>INDEX('M_Consumable'!$D$5:$D$50,MATCH(A7,'M_Consumable'!$A$5:$A$50,0))</f>
        <v/>
      </c>
      <c r="D7" s="23">
        <f>SUMIFS('Cons Receipt Register'!$D$5:$D$400,'Cons Receipt Register'!$C$5:$C$400,A7)</f>
        <v/>
      </c>
      <c r="E7" s="23">
        <f>SUMIFS('Cons Issue Register'!$F$5:$F$400,'Cons Issue Register'!$D$5:$D$400,A7)</f>
        <v/>
      </c>
      <c r="F7" s="23">
        <f>SUMIFS('Adjust Register'!$G$5:$G$400,'Adjust Register'!$D$5:$D$400,A7)</f>
        <v/>
      </c>
      <c r="G7" s="40">
        <f>D7+E7+F7</f>
        <v/>
      </c>
      <c r="H7" s="27">
        <f>IFERROR(SUMIFS('Cons Receipt Register'!$F$5:$F$400,'Cons Receipt Register'!$C$5:$C$400,A7)/D7,0)</f>
        <v/>
      </c>
      <c r="I7" s="27">
        <f>ROUND(G7*H7,2)</f>
        <v/>
      </c>
      <c r="J7" s="22">
        <f>INDEX('M_Consumable'!$E$5:$E$50,MATCH(A7,'M_Consumable'!$A$5:$A$50,0))</f>
        <v/>
      </c>
      <c r="K7" s="29">
        <f>IF(G7&lt;0,"NEGATIVE",IF(G7&lt;=J7,"REORDER","OK"))</f>
        <v/>
      </c>
    </row>
    <row r="8">
      <c r="A8" s="22" t="inlineStr">
        <is>
          <t>GAS-001</t>
        </is>
      </c>
      <c r="B8" s="22">
        <f>INDEX('M_Consumable'!$B$5:$B$50,MATCH(A8,'M_Consumable'!$A$5:$A$50,0))</f>
        <v/>
      </c>
      <c r="C8" s="22">
        <f>INDEX('M_Consumable'!$D$5:$D$50,MATCH(A8,'M_Consumable'!$A$5:$A$50,0))</f>
        <v/>
      </c>
      <c r="D8" s="23">
        <f>SUMIFS('Cons Receipt Register'!$D$5:$D$400,'Cons Receipt Register'!$C$5:$C$400,A8)</f>
        <v/>
      </c>
      <c r="E8" s="23">
        <f>SUMIFS('Cons Issue Register'!$F$5:$F$400,'Cons Issue Register'!$D$5:$D$400,A8)</f>
        <v/>
      </c>
      <c r="F8" s="23">
        <f>SUMIFS('Adjust Register'!$G$5:$G$400,'Adjust Register'!$D$5:$D$400,A8)</f>
        <v/>
      </c>
      <c r="G8" s="40">
        <f>D8+E8+F8</f>
        <v/>
      </c>
      <c r="H8" s="27">
        <f>IFERROR(SUMIFS('Cons Receipt Register'!$F$5:$F$400,'Cons Receipt Register'!$C$5:$C$400,A8)/D8,0)</f>
        <v/>
      </c>
      <c r="I8" s="27">
        <f>ROUND(G8*H8,2)</f>
        <v/>
      </c>
      <c r="J8" s="22">
        <f>INDEX('M_Consumable'!$E$5:$E$50,MATCH(A8,'M_Consumable'!$A$5:$A$50,0))</f>
        <v/>
      </c>
      <c r="K8" s="29">
        <f>IF(G8&lt;0,"NEGATIVE",IF(G8&lt;=J8,"REORDER","OK"))</f>
        <v/>
      </c>
    </row>
  </sheetData>
  <conditionalFormatting sqref="K5:K8">
    <cfRule type="expression" priority="1" dxfId="0" stopIfTrue="1">
      <formula>OR(LEFT(K5,5)="READY",K5="OK",LEFT(K5,6)="CLOSED")</formula>
    </cfRule>
    <cfRule type="expression" priority="2" dxfId="1" stopIfTrue="1">
      <formula>OR(LEFT(K5,4)="WARN",LEFT(K5,2)="IN",LEFT(K5,3)="NOT",LEFT(K5,7)="REORDER",LEFT(K5,5)="STALE",LEFT(K5,4)="PART",LEFT(K5,7)="PENDING",LEFT(K5,5)="READY")</formula>
    </cfRule>
    <cfRule type="expression" priority="3" dxfId="2">
      <formula>LEN(K5)&gt;0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zoomScale="90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8" customWidth="1" min="4" max="4"/>
    <col width="9" customWidth="1" min="5" max="5"/>
    <col width="9" customWidth="1" min="6" max="6"/>
    <col width="11" customWidth="1" min="7" max="7"/>
    <col width="11" customWidth="1" min="8" max="8"/>
    <col width="7" customWidth="1" min="9" max="9"/>
  </cols>
  <sheetData>
    <row r="1">
      <c r="A1" s="15" t="inlineStr">
        <is>
          <t>MATERIAL MASTER</t>
        </is>
      </c>
    </row>
    <row r="2">
      <c r="A2" s="16" t="inlineStr">
        <is>
          <t>One row per material. Live stock is NOT kept here - see Lot Balance.</t>
        </is>
      </c>
    </row>
    <row r="4" ht="30" customHeight="1">
      <c r="A4" s="21" t="inlineStr">
        <is>
          <t>Material ID</t>
        </is>
      </c>
      <c r="B4" s="21" t="inlineStr">
        <is>
          <t>Grade Code</t>
        </is>
      </c>
      <c r="C4" s="21" t="inlineStr">
        <is>
          <t>Grade</t>
        </is>
      </c>
      <c r="D4" s="21" t="inlineStr">
        <is>
          <t>Thk mm</t>
        </is>
      </c>
      <c r="E4" s="21" t="inlineStr">
        <is>
          <t>Std L mm</t>
        </is>
      </c>
      <c r="F4" s="21" t="inlineStr">
        <is>
          <t>Std W mm</t>
        </is>
      </c>
      <c r="G4" s="21" t="inlineStr">
        <is>
          <t>Std Sheet kg</t>
        </is>
      </c>
      <c r="H4" s="21" t="inlineStr">
        <is>
          <t>Min Level kg</t>
        </is>
      </c>
      <c r="I4" s="21" t="inlineStr">
        <is>
          <t>Active</t>
        </is>
      </c>
    </row>
    <row r="5">
      <c r="A5" s="24" t="inlineStr">
        <is>
          <t>GPSP-1.6</t>
        </is>
      </c>
      <c r="B5" s="24" t="inlineStr">
        <is>
          <t>GP</t>
        </is>
      </c>
      <c r="C5" s="24" t="inlineStr">
        <is>
          <t>GPSP</t>
        </is>
      </c>
      <c r="D5" s="24" t="n">
        <v>1.6</v>
      </c>
      <c r="E5" s="24" t="n">
        <v>2500</v>
      </c>
      <c r="F5" s="24" t="n">
        <v>1250</v>
      </c>
      <c r="G5" s="30">
        <f>ROUND(D5*E5*F5*'Settings'!$B$9,3)</f>
        <v/>
      </c>
      <c r="H5" s="25" t="n">
        <v>1500</v>
      </c>
      <c r="I5" s="24" t="inlineStr">
        <is>
          <t>Yes</t>
        </is>
      </c>
    </row>
    <row r="6">
      <c r="A6" s="24" t="inlineStr">
        <is>
          <t>GPSP-1.2</t>
        </is>
      </c>
      <c r="B6" s="24" t="inlineStr">
        <is>
          <t>GP</t>
        </is>
      </c>
      <c r="C6" s="24" t="inlineStr">
        <is>
          <t>GPSP</t>
        </is>
      </c>
      <c r="D6" s="24" t="n">
        <v>1.2</v>
      </c>
      <c r="E6" s="24" t="n">
        <v>2500</v>
      </c>
      <c r="F6" s="24" t="n">
        <v>1250</v>
      </c>
      <c r="G6" s="30">
        <f>ROUND(D6*E6*F6*'Settings'!$B$9,3)</f>
        <v/>
      </c>
      <c r="H6" s="25" t="n">
        <v>1000</v>
      </c>
      <c r="I6" s="24" t="inlineStr">
        <is>
          <t>Yes</t>
        </is>
      </c>
    </row>
    <row r="7">
      <c r="A7" s="24" t="inlineStr">
        <is>
          <t>CRCA-1.0</t>
        </is>
      </c>
      <c r="B7" s="24" t="inlineStr">
        <is>
          <t>CR</t>
        </is>
      </c>
      <c r="C7" s="24" t="inlineStr">
        <is>
          <t>CRCA</t>
        </is>
      </c>
      <c r="D7" s="24" t="n">
        <v>1</v>
      </c>
      <c r="E7" s="24" t="n">
        <v>2500</v>
      </c>
      <c r="F7" s="24" t="n">
        <v>1250</v>
      </c>
      <c r="G7" s="30">
        <f>ROUND(D7*E7*F7*'Settings'!$B$9,3)</f>
        <v/>
      </c>
      <c r="H7" s="25" t="n">
        <v>800</v>
      </c>
      <c r="I7" s="24" t="inlineStr">
        <is>
          <t>Yes</t>
        </is>
      </c>
    </row>
    <row r="8">
      <c r="A8" s="24" t="inlineStr">
        <is>
          <t>HRCA-2.0</t>
        </is>
      </c>
      <c r="B8" s="24" t="inlineStr">
        <is>
          <t>HR</t>
        </is>
      </c>
      <c r="C8" s="24" t="inlineStr">
        <is>
          <t>HRCA</t>
        </is>
      </c>
      <c r="D8" s="24" t="n">
        <v>2</v>
      </c>
      <c r="E8" s="24" t="n">
        <v>2500</v>
      </c>
      <c r="F8" s="24" t="n">
        <v>1250</v>
      </c>
      <c r="G8" s="30">
        <f>ROUND(D8*E8*F8*'Settings'!$B$9,3)</f>
        <v/>
      </c>
      <c r="H8" s="25" t="n">
        <v>600</v>
      </c>
      <c r="I8" s="2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zoomScale="9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30" customWidth="1" min="3" max="3"/>
  </cols>
  <sheetData>
    <row r="1">
      <c r="A1" s="15" t="inlineStr">
        <is>
          <t>GRADE CODES</t>
        </is>
      </c>
    </row>
    <row r="2">
      <c r="A2" s="16" t="inlineStr">
        <is>
          <t>Grade code is the front of every Lot ID.</t>
        </is>
      </c>
    </row>
    <row r="4" ht="30" customHeight="1">
      <c r="A4" s="21" t="inlineStr">
        <is>
          <t>Grade Code</t>
        </is>
      </c>
      <c r="B4" s="21" t="inlineStr">
        <is>
          <t>Grade</t>
        </is>
      </c>
      <c r="C4" s="21" t="inlineStr">
        <is>
          <t>Description</t>
        </is>
      </c>
    </row>
    <row r="5">
      <c r="A5" s="24" t="inlineStr">
        <is>
          <t>GP</t>
        </is>
      </c>
      <c r="B5" s="24" t="inlineStr">
        <is>
          <t>GPSP</t>
        </is>
      </c>
      <c r="C5" s="24" t="inlineStr">
        <is>
          <t>Galvanised plain</t>
        </is>
      </c>
    </row>
    <row r="6">
      <c r="A6" s="24" t="inlineStr">
        <is>
          <t>CR</t>
        </is>
      </c>
      <c r="B6" s="24" t="inlineStr">
        <is>
          <t>CRCA</t>
        </is>
      </c>
      <c r="C6" s="24" t="inlineStr">
        <is>
          <t>Cold rolled</t>
        </is>
      </c>
    </row>
    <row r="7">
      <c r="A7" s="24" t="inlineStr">
        <is>
          <t>HR</t>
        </is>
      </c>
      <c r="B7" s="24" t="inlineStr">
        <is>
          <t>HRCA</t>
        </is>
      </c>
      <c r="C7" s="24" t="inlineStr">
        <is>
          <t>Hot rolled</t>
        </is>
      </c>
    </row>
    <row r="8">
      <c r="A8" s="24" t="inlineStr">
        <is>
          <t>AL</t>
        </is>
      </c>
      <c r="B8" s="24" t="inlineStr">
        <is>
          <t>ALUMINIUM</t>
        </is>
      </c>
      <c r="C8" s="24" t="inlineStr">
        <is>
          <t>Aluminium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zoomScale="90"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9" customWidth="1" min="3" max="3"/>
    <col width="18" customWidth="1" min="4" max="4"/>
    <col width="8" customWidth="1" min="5" max="5"/>
    <col width="22" customWidth="1" min="6" max="6"/>
    <col width="20" customWidth="1" min="7" max="7"/>
    <col width="7" customWidth="1" min="8" max="8"/>
  </cols>
  <sheetData>
    <row r="1">
      <c r="A1" s="15" t="inlineStr">
        <is>
          <t>SUPPLIERS</t>
        </is>
      </c>
    </row>
    <row r="2">
      <c r="A2" s="16" t="inlineStr">
        <is>
          <t>Supplier ID is the key; names can change without touching history. Email = plain reference text only.</t>
        </is>
      </c>
    </row>
    <row r="4" ht="30" customHeight="1">
      <c r="A4" s="21" t="inlineStr">
        <is>
          <t>Supplier ID</t>
        </is>
      </c>
      <c r="B4" s="21" t="inlineStr">
        <is>
          <t>Supplier Name</t>
        </is>
      </c>
      <c r="C4" s="21" t="inlineStr">
        <is>
          <t>Supplies</t>
        </is>
      </c>
      <c r="D4" s="21" t="inlineStr">
        <is>
          <t>GSTIN</t>
        </is>
      </c>
      <c r="E4" s="21" t="inlineStr">
        <is>
          <t>Pay Days</t>
        </is>
      </c>
      <c r="F4" s="21" t="inlineStr">
        <is>
          <t>Tally Ledger</t>
        </is>
      </c>
      <c r="G4" s="21" t="inlineStr">
        <is>
          <t>Email (reference)</t>
        </is>
      </c>
      <c r="H4" s="21" t="inlineStr">
        <is>
          <t>Active</t>
        </is>
      </c>
    </row>
    <row r="5">
      <c r="A5" s="24" t="inlineStr">
        <is>
          <t>SUP-0007</t>
        </is>
      </c>
      <c r="B5" s="24" t="inlineStr">
        <is>
          <t>Supplier A (masked)</t>
        </is>
      </c>
      <c r="C5" s="24" t="inlineStr">
        <is>
          <t>RM</t>
        </is>
      </c>
      <c r="D5" s="24" t="inlineStr">
        <is>
          <t>24XXXXX0000X1Z0</t>
        </is>
      </c>
      <c r="E5" s="24" t="n">
        <v>30</v>
      </c>
      <c r="F5" s="24" t="inlineStr">
        <is>
          <t>SUPPLIER A PVT LTD</t>
        </is>
      </c>
      <c r="G5" s="24" t="inlineStr"/>
      <c r="H5" s="24" t="inlineStr">
        <is>
          <t>Yes</t>
        </is>
      </c>
    </row>
    <row r="6">
      <c r="A6" s="24" t="inlineStr">
        <is>
          <t>SUP-0012</t>
        </is>
      </c>
      <c r="B6" s="24" t="inlineStr">
        <is>
          <t>Supplier B (masked)</t>
        </is>
      </c>
      <c r="C6" s="24" t="inlineStr">
        <is>
          <t>RM</t>
        </is>
      </c>
      <c r="D6" s="24" t="inlineStr">
        <is>
          <t>24XXXXX0000X1Z1</t>
        </is>
      </c>
      <c r="E6" s="24" t="n">
        <v>45</v>
      </c>
      <c r="F6" s="24" t="inlineStr">
        <is>
          <t>SUPPLIER B</t>
        </is>
      </c>
      <c r="G6" s="24" t="inlineStr"/>
      <c r="H6" s="24" t="inlineStr">
        <is>
          <t>Yes</t>
        </is>
      </c>
    </row>
    <row r="7">
      <c r="A7" s="24" t="inlineStr">
        <is>
          <t>SUP-0020</t>
        </is>
      </c>
      <c r="B7" s="24" t="inlineStr">
        <is>
          <t>Supplier C (masked)</t>
        </is>
      </c>
      <c r="C7" s="24" t="inlineStr">
        <is>
          <t>CONS</t>
        </is>
      </c>
      <c r="D7" s="24" t="inlineStr">
        <is>
          <t>24XXXXX0000X1Z2</t>
        </is>
      </c>
      <c r="E7" s="24" t="n">
        <v>30</v>
      </c>
      <c r="F7" s="24" t="inlineStr">
        <is>
          <t>SUPPLIER C</t>
        </is>
      </c>
      <c r="G7" s="24" t="inlineStr"/>
      <c r="H7" s="2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zoomScale="9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7" customWidth="1" min="4" max="4"/>
    <col width="9" customWidth="1" min="5" max="5"/>
    <col width="7" customWidth="1" min="6" max="6"/>
  </cols>
  <sheetData>
    <row r="1">
      <c r="A1" s="15" t="inlineStr">
        <is>
          <t>CONSUMABLE ITEMS</t>
        </is>
      </c>
    </row>
    <row r="2">
      <c r="A2" s="16" t="inlineStr">
        <is>
          <t>Identity, unit, category, minimum level. Stock is in Consumable Balance.</t>
        </is>
      </c>
    </row>
    <row r="4" ht="30" customHeight="1">
      <c r="A4" s="21" t="inlineStr">
        <is>
          <t>Item ID</t>
        </is>
      </c>
      <c r="B4" s="21" t="inlineStr">
        <is>
          <t>Item Name</t>
        </is>
      </c>
      <c r="C4" s="21" t="inlineStr">
        <is>
          <t>Category</t>
        </is>
      </c>
      <c r="D4" s="21" t="inlineStr">
        <is>
          <t>Unit</t>
        </is>
      </c>
      <c r="E4" s="21" t="inlineStr">
        <is>
          <t>Min Level</t>
        </is>
      </c>
      <c r="F4" s="21" t="inlineStr">
        <is>
          <t>Active</t>
        </is>
      </c>
    </row>
    <row r="5">
      <c r="A5" s="24" t="inlineStr">
        <is>
          <t>ABR-001</t>
        </is>
      </c>
      <c r="B5" s="24" t="inlineStr">
        <is>
          <t>Flap disc 4 inch</t>
        </is>
      </c>
      <c r="C5" s="24" t="inlineStr">
        <is>
          <t>ABRASIVE</t>
        </is>
      </c>
      <c r="D5" s="24" t="inlineStr">
        <is>
          <t>NOS</t>
        </is>
      </c>
      <c r="E5" s="24" t="n">
        <v>100</v>
      </c>
      <c r="F5" s="24" t="inlineStr">
        <is>
          <t>Yes</t>
        </is>
      </c>
    </row>
    <row r="6">
      <c r="A6" s="24" t="inlineStr">
        <is>
          <t>ABR-004</t>
        </is>
      </c>
      <c r="B6" s="24" t="inlineStr">
        <is>
          <t>Cutting disc 7 inch</t>
        </is>
      </c>
      <c r="C6" s="24" t="inlineStr">
        <is>
          <t>ABRASIVE</t>
        </is>
      </c>
      <c r="D6" s="24" t="inlineStr">
        <is>
          <t>NOS</t>
        </is>
      </c>
      <c r="E6" s="24" t="n">
        <v>40</v>
      </c>
      <c r="F6" s="24" t="inlineStr">
        <is>
          <t>Yes</t>
        </is>
      </c>
    </row>
    <row r="7">
      <c r="A7" s="24" t="inlineStr">
        <is>
          <t>WLD-003</t>
        </is>
      </c>
      <c r="B7" s="24" t="inlineStr">
        <is>
          <t>Welding wire 1.2 mm</t>
        </is>
      </c>
      <c r="C7" s="24" t="inlineStr">
        <is>
          <t>WELDING</t>
        </is>
      </c>
      <c r="D7" s="24" t="inlineStr">
        <is>
          <t>KGS</t>
        </is>
      </c>
      <c r="E7" s="24" t="n">
        <v>50</v>
      </c>
      <c r="F7" s="24" t="inlineStr">
        <is>
          <t>Yes</t>
        </is>
      </c>
    </row>
    <row r="8">
      <c r="A8" s="24" t="inlineStr">
        <is>
          <t>GAS-001</t>
        </is>
      </c>
      <c r="B8" s="24" t="inlineStr">
        <is>
          <t>CO2 gas</t>
        </is>
      </c>
      <c r="C8" s="24" t="inlineStr">
        <is>
          <t>GAS</t>
        </is>
      </c>
      <c r="D8" s="24" t="inlineStr">
        <is>
          <t>KGS</t>
        </is>
      </c>
      <c r="E8" s="24" t="n">
        <v>200</v>
      </c>
      <c r="F8" s="2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zoomScale="90"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</cols>
  <sheetData>
    <row r="1">
      <c r="A1" s="15" t="inlineStr">
        <is>
          <t>REASON CODES</t>
        </is>
      </c>
    </row>
    <row r="2">
      <c r="A2" s="16" t="inlineStr">
        <is>
          <t>Codes, not free text. No count-difference reasons exist.</t>
        </is>
      </c>
    </row>
    <row r="4" ht="30" customHeight="1">
      <c r="A4" s="21" t="inlineStr">
        <is>
          <t>Code</t>
        </is>
      </c>
      <c r="B4" s="21" t="inlineStr">
        <is>
          <t>Reason</t>
        </is>
      </c>
      <c r="C4" s="21" t="inlineStr">
        <is>
          <t>Used For</t>
        </is>
      </c>
    </row>
    <row r="5">
      <c r="A5" s="24" t="inlineStr">
        <is>
          <t>RATE-MKT</t>
        </is>
      </c>
      <c r="B5" s="24" t="inlineStr">
        <is>
          <t>Market price moved</t>
        </is>
      </c>
      <c r="C5" s="24" t="inlineStr">
        <is>
          <t>GRN rate</t>
        </is>
      </c>
    </row>
    <row r="6">
      <c r="A6" s="24" t="inlineStr">
        <is>
          <t>OVR-QLT</t>
        </is>
      </c>
      <c r="B6" s="24" t="inlineStr">
        <is>
          <t>Lot override - quality / size need</t>
        </is>
      </c>
      <c r="C6" s="24" t="inlineStr">
        <is>
          <t>Lot override</t>
        </is>
      </c>
    </row>
    <row r="7">
      <c r="A7" s="24" t="inlineStr">
        <is>
          <t>ADJ-WGT</t>
        </is>
      </c>
      <c r="B7" s="24" t="inlineStr">
        <is>
          <t>Weighing error</t>
        </is>
      </c>
      <c r="C7" s="24" t="inlineStr">
        <is>
          <t>Adjustment</t>
        </is>
      </c>
    </row>
    <row r="8">
      <c r="A8" s="24" t="inlineStr">
        <is>
          <t>ADJ-ENT</t>
        </is>
      </c>
      <c r="B8" s="24" t="inlineStr">
        <is>
          <t>Entry error (quote posted ID)</t>
        </is>
      </c>
      <c r="C8" s="24" t="inlineStr">
        <is>
          <t>Adjustment</t>
        </is>
      </c>
    </row>
    <row r="9">
      <c r="A9" s="24" t="inlineStr">
        <is>
          <t>ADJ-DMG</t>
        </is>
      </c>
      <c r="B9" s="24" t="inlineStr">
        <is>
          <t>Damage write-off</t>
        </is>
      </c>
      <c r="C9" s="24" t="inlineStr">
        <is>
          <t>Adjustment</t>
        </is>
      </c>
    </row>
    <row r="10">
      <c r="A10" s="24" t="inlineStr">
        <is>
          <t>ADJ-SCN</t>
        </is>
      </c>
      <c r="B10" s="24" t="inlineStr">
        <is>
          <t>Supplier credit note</t>
        </is>
      </c>
      <c r="C10" s="24" t="inlineStr">
        <is>
          <t>Adjustment</t>
        </is>
      </c>
    </row>
    <row r="11">
      <c r="A11" s="24" t="inlineStr">
        <is>
          <t>COR-ENT</t>
        </is>
      </c>
      <c r="B11" s="24" t="inlineStr">
        <is>
          <t>Correction of a wrong entry</t>
        </is>
      </c>
      <c r="C11" s="24" t="inlineStr">
        <is>
          <t>Reversal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zoomScale="90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5" t="inlineStr">
        <is>
          <t>WHERE USED (cost centres)</t>
        </is>
      </c>
    </row>
    <row r="2">
      <c r="A2" s="16" t="inlineStr">
        <is>
          <t>Consumable destinations.</t>
        </is>
      </c>
    </row>
    <row r="4" ht="30" customHeight="1">
      <c r="A4" s="21" t="inlineStr">
        <is>
          <t>Where Used</t>
        </is>
      </c>
      <c r="B4" s="21" t="inlineStr">
        <is>
          <t>Type</t>
        </is>
      </c>
    </row>
    <row r="5">
      <c r="A5" s="24" t="inlineStr">
        <is>
          <t>MC-01 SLTL Laser</t>
        </is>
      </c>
      <c r="B5" s="24" t="inlineStr">
        <is>
          <t>Machine</t>
        </is>
      </c>
    </row>
    <row r="6">
      <c r="A6" s="24" t="inlineStr">
        <is>
          <t>MC-05 Amada Bending</t>
        </is>
      </c>
      <c r="B6" s="24" t="inlineStr">
        <is>
          <t>Machine</t>
        </is>
      </c>
    </row>
    <row r="7">
      <c r="A7" s="24" t="inlineStr">
        <is>
          <t>Fabrication Bay</t>
        </is>
      </c>
      <c r="B7" s="24" t="inlineStr">
        <is>
          <t>Department</t>
        </is>
      </c>
    </row>
    <row r="8">
      <c r="A8" s="24" t="inlineStr">
        <is>
          <t>Maintenance</t>
        </is>
      </c>
      <c r="B8" s="24" t="inlineStr">
        <is>
          <t>Department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zoomScale="90"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11" customWidth="1" min="3" max="3"/>
    <col width="7" customWidth="1" min="4" max="4"/>
    <col width="16" customWidth="1" min="5" max="5"/>
  </cols>
  <sheetData>
    <row r="1">
      <c r="A1" s="15" t="inlineStr">
        <is>
          <t>X_PRODUCT - imported from Production (values)</t>
        </is>
      </c>
    </row>
    <row r="2">
      <c r="A2" s="16" t="inlineStr">
        <is>
          <t>Refreshed by Power Query. Do not type here.</t>
        </is>
      </c>
    </row>
    <row r="4" ht="30" customHeight="1">
      <c r="A4" s="21" t="inlineStr">
        <is>
          <t>Product ID</t>
        </is>
      </c>
      <c r="B4" s="21" t="inlineStr">
        <is>
          <t>Product Name</t>
        </is>
      </c>
      <c r="C4" s="21" t="inlineStr">
        <is>
          <t>Customer ID</t>
        </is>
      </c>
      <c r="D4" s="21" t="inlineStr">
        <is>
          <t>Active</t>
        </is>
      </c>
      <c r="E4" s="21" t="inlineStr">
        <is>
          <t>Run ID</t>
        </is>
      </c>
    </row>
    <row r="5">
      <c r="A5" s="22" t="inlineStr">
        <is>
          <t>PRD-A12</t>
        </is>
      </c>
      <c r="B5" s="22" t="inlineStr">
        <is>
          <t>Model A12 ODU</t>
        </is>
      </c>
      <c r="C5" s="22" t="inlineStr">
        <is>
          <t>CUS-01</t>
        </is>
      </c>
      <c r="D5" s="22" t="inlineStr">
        <is>
          <t>Yes</t>
        </is>
      </c>
      <c r="E5" s="22" t="inlineStr">
        <is>
          <t>RUN-270415-0830</t>
        </is>
      </c>
    </row>
    <row r="6">
      <c r="A6" s="22" t="inlineStr">
        <is>
          <t>PRD-B07</t>
        </is>
      </c>
      <c r="B6" s="22" t="inlineStr">
        <is>
          <t>Model B07 IDU</t>
        </is>
      </c>
      <c r="C6" s="22" t="inlineStr">
        <is>
          <t>CUS-01</t>
        </is>
      </c>
      <c r="D6" s="22" t="inlineStr">
        <is>
          <t>Yes</t>
        </is>
      </c>
      <c r="E6" s="22" t="inlineStr">
        <is>
          <t>RUN-270415-0830</t>
        </is>
      </c>
    </row>
    <row r="7">
      <c r="A7" s="22" t="inlineStr">
        <is>
          <t>PRD-C03</t>
        </is>
      </c>
      <c r="B7" s="22" t="inlineStr">
        <is>
          <t>Model C03 frame</t>
        </is>
      </c>
      <c r="C7" s="22" t="inlineStr">
        <is>
          <t>CUS-02</t>
        </is>
      </c>
      <c r="D7" s="22" t="inlineStr">
        <is>
          <t>Yes</t>
        </is>
      </c>
      <c r="E7" s="22" t="inlineStr">
        <is>
          <t>RUN-270415-0830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zoomScale="9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7" customWidth="1" min="4" max="4"/>
  </cols>
  <sheetData>
    <row r="1">
      <c r="A1" s="15" t="inlineStr">
        <is>
          <t>X_MACHINE - imported from Production (values)</t>
        </is>
      </c>
    </row>
    <row r="2">
      <c r="A2" s="16" t="inlineStr">
        <is>
          <t>Refreshed by Power Query.</t>
        </is>
      </c>
    </row>
    <row r="4" ht="30" customHeight="1">
      <c r="A4" s="21" t="inlineStr">
        <is>
          <t>Machine ID</t>
        </is>
      </c>
      <c r="B4" s="21" t="inlineStr">
        <is>
          <t>Machine</t>
        </is>
      </c>
      <c r="C4" s="21" t="inlineStr">
        <is>
          <t>Process</t>
        </is>
      </c>
      <c r="D4" s="21" t="inlineStr">
        <is>
          <t>Active</t>
        </is>
      </c>
    </row>
    <row r="5">
      <c r="A5" s="22" t="inlineStr">
        <is>
          <t>MC-01</t>
        </is>
      </c>
      <c r="B5" s="22" t="inlineStr">
        <is>
          <t>SLTL Laser</t>
        </is>
      </c>
      <c r="C5" s="22" t="inlineStr">
        <is>
          <t>CUTTING</t>
        </is>
      </c>
      <c r="D5" s="22" t="inlineStr">
        <is>
          <t>Yes</t>
        </is>
      </c>
    </row>
    <row r="6">
      <c r="A6" s="22" t="inlineStr">
        <is>
          <t>MC-02</t>
        </is>
      </c>
      <c r="B6" s="22" t="inlineStr">
        <is>
          <t>Amada Punching</t>
        </is>
      </c>
      <c r="C6" s="22" t="inlineStr">
        <is>
          <t>CUTTING</t>
        </is>
      </c>
      <c r="D6" s="22" t="inlineStr">
        <is>
          <t>Yes</t>
        </is>
      </c>
    </row>
    <row r="7">
      <c r="A7" s="22" t="inlineStr">
        <is>
          <t>MC-03</t>
        </is>
      </c>
      <c r="B7" s="22" t="inlineStr">
        <is>
          <t>Divine Laser</t>
        </is>
      </c>
      <c r="C7" s="22" t="inlineStr">
        <is>
          <t>CUTTING</t>
        </is>
      </c>
      <c r="D7" s="22" t="inlineStr">
        <is>
          <t>Yes</t>
        </is>
      </c>
    </row>
    <row r="8">
      <c r="A8" s="22" t="inlineStr">
        <is>
          <t>MC-05</t>
        </is>
      </c>
      <c r="B8" s="22" t="inlineStr">
        <is>
          <t>Amada Bending</t>
        </is>
      </c>
      <c r="C8" s="22" t="inlineStr">
        <is>
          <t>BENDING</t>
        </is>
      </c>
      <c r="D8" s="22" t="inlineStr">
        <is>
          <t>Yes</t>
        </is>
      </c>
    </row>
    <row r="9">
      <c r="A9" s="22" t="inlineStr">
        <is>
          <t>MC-07</t>
        </is>
      </c>
      <c r="B9" s="22" t="inlineStr">
        <is>
          <t>Fabrication Bay</t>
        </is>
      </c>
      <c r="C9" s="22" t="inlineStr">
        <is>
          <t>FABRICATION</t>
        </is>
      </c>
      <c r="D9" s="2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zoomScale="9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7" customWidth="1" min="4" max="4"/>
  </cols>
  <sheetData>
    <row r="1">
      <c r="A1" s="15" t="inlineStr">
        <is>
          <t>X_PEOPLE - imported from Production (values)</t>
        </is>
      </c>
    </row>
    <row r="2">
      <c r="A2" s="16" t="inlineStr">
        <is>
          <t>Refreshed by Power Query.</t>
        </is>
      </c>
    </row>
    <row r="4" ht="30" customHeight="1">
      <c r="A4" s="21" t="inlineStr">
        <is>
          <t>Person ID</t>
        </is>
      </c>
      <c r="B4" s="21" t="inlineStr">
        <is>
          <t>Name (masked)</t>
        </is>
      </c>
      <c r="C4" s="21" t="inlineStr">
        <is>
          <t>Role</t>
        </is>
      </c>
      <c r="D4" s="21" t="inlineStr">
        <is>
          <t>Active</t>
        </is>
      </c>
    </row>
    <row r="5">
      <c r="A5" s="22" t="inlineStr">
        <is>
          <t>PER-003</t>
        </is>
      </c>
      <c r="B5" s="22" t="inlineStr">
        <is>
          <t>Person 03</t>
        </is>
      </c>
      <c r="C5" s="22" t="inlineStr">
        <is>
          <t>Operator</t>
        </is>
      </c>
      <c r="D5" s="22" t="inlineStr">
        <is>
          <t>Yes</t>
        </is>
      </c>
    </row>
    <row r="6">
      <c r="A6" s="22" t="inlineStr">
        <is>
          <t>PER-007</t>
        </is>
      </c>
      <c r="B6" s="22" t="inlineStr">
        <is>
          <t>Person 07</t>
        </is>
      </c>
      <c r="C6" s="22" t="inlineStr">
        <is>
          <t>Operator</t>
        </is>
      </c>
      <c r="D6" s="22" t="inlineStr">
        <is>
          <t>Yes</t>
        </is>
      </c>
    </row>
    <row r="7">
      <c r="A7" s="22" t="inlineStr">
        <is>
          <t>PER-011</t>
        </is>
      </c>
      <c r="B7" s="22" t="inlineStr">
        <is>
          <t>Person 11</t>
        </is>
      </c>
      <c r="C7" s="22" t="inlineStr">
        <is>
          <t>Operator</t>
        </is>
      </c>
      <c r="D7" s="22" t="inlineStr">
        <is>
          <t>Yes</t>
        </is>
      </c>
    </row>
    <row r="8">
      <c r="A8" s="22" t="inlineStr">
        <is>
          <t>PER-015</t>
        </is>
      </c>
      <c r="B8" s="22" t="inlineStr">
        <is>
          <t>Person 15</t>
        </is>
      </c>
      <c r="C8" s="22" t="inlineStr">
        <is>
          <t>Stores</t>
        </is>
      </c>
      <c r="D8" s="22" t="inlineStr">
        <is>
          <t>Yes</t>
        </is>
      </c>
    </row>
    <row r="9">
      <c r="A9" s="22" t="inlineStr">
        <is>
          <t>PER-018</t>
        </is>
      </c>
      <c r="B9" s="22" t="inlineStr">
        <is>
          <t>Person 18</t>
        </is>
      </c>
      <c r="C9" s="22" t="inlineStr">
        <is>
          <t>QC / approver</t>
        </is>
      </c>
      <c r="D9" s="2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zoomScale="9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12" customWidth="1" min="4" max="4"/>
    <col width="13" customWidth="1" min="5" max="5"/>
    <col width="9" customWidth="1" min="6" max="6"/>
    <col width="10" customWidth="1" min="7" max="7"/>
  </cols>
  <sheetData>
    <row r="1">
      <c r="A1" s="15" t="inlineStr">
        <is>
          <t>POSTING LOG</t>
        </is>
      </c>
    </row>
    <row r="2">
      <c r="A2" s="16" t="inlineStr">
        <is>
          <t>One line per posting: what was posted and the pad control total, so pad = register.</t>
        </is>
      </c>
    </row>
    <row r="4" ht="30" customHeight="1">
      <c r="A4" s="21" t="inlineStr">
        <is>
          <t>Posted At</t>
        </is>
      </c>
      <c r="B4" s="21" t="inlineStr">
        <is>
          <t>Register</t>
        </is>
      </c>
      <c r="C4" s="21" t="inlineStr">
        <is>
          <t>Rows Posted</t>
        </is>
      </c>
      <c r="D4" s="21" t="inlineStr">
        <is>
          <t>Pad Total kg / Qty</t>
        </is>
      </c>
      <c r="E4" s="21" t="inlineStr">
        <is>
          <t>Register Total After</t>
        </is>
      </c>
      <c r="F4" s="21" t="inlineStr">
        <is>
          <t>Posted By</t>
        </is>
      </c>
      <c r="G4" s="21" t="inlineStr">
        <is>
          <t>Method</t>
        </is>
      </c>
    </row>
    <row r="5">
      <c r="A5" s="42" t="n">
        <v>46490.71666666667</v>
      </c>
      <c r="B5" s="24" t="inlineStr">
        <is>
          <t>RM Move Register</t>
        </is>
      </c>
      <c r="C5" s="24" t="n">
        <v>2</v>
      </c>
      <c r="D5" s="25" t="n">
        <v>233.3</v>
      </c>
      <c r="E5" s="23" t="n">
        <v>1124.3</v>
      </c>
      <c r="F5" s="24" t="inlineStr">
        <is>
          <t>PER-015</t>
        </is>
      </c>
      <c r="G5" s="24" t="inlineStr">
        <is>
          <t>Macro</t>
        </is>
      </c>
    </row>
    <row r="6">
      <c r="A6" s="42" t="n">
        <v>46491.50069444445</v>
      </c>
      <c r="B6" s="24" t="inlineStr">
        <is>
          <t>Adjust Register</t>
        </is>
      </c>
      <c r="C6" s="24" t="n">
        <v>1</v>
      </c>
      <c r="D6" s="25" t="n">
        <v>4.2</v>
      </c>
      <c r="E6" s="23" t="n">
        <v>4.2</v>
      </c>
      <c r="F6" s="24" t="inlineStr">
        <is>
          <t>PER-015</t>
        </is>
      </c>
      <c r="G6" s="24" t="inlineStr">
        <is>
          <t>Manual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zoomScale="90"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12" customWidth="1" min="3" max="3"/>
    <col width="13" customWidth="1" min="4" max="4"/>
  </cols>
  <sheetData>
    <row r="1">
      <c r="A1" s="15" t="inlineStr">
        <is>
          <t>CONTROL TOTALS - read by MIS after refresh</t>
        </is>
      </c>
    </row>
    <row r="2">
      <c r="A2" s="16" t="inlineStr">
        <is>
          <t>Rows and totals per register; MIS compares its extracts with these.</t>
        </is>
      </c>
    </row>
    <row r="4" ht="30" customHeight="1">
      <c r="A4" s="21" t="inlineStr">
        <is>
          <t>Register</t>
        </is>
      </c>
      <c r="B4" s="21" t="inlineStr">
        <is>
          <t>Rows</t>
        </is>
      </c>
      <c r="C4" s="21" t="inlineStr">
        <is>
          <t>Total kg / Qty</t>
        </is>
      </c>
      <c r="D4" s="21" t="inlineStr">
        <is>
          <t>Total Value Rs</t>
        </is>
      </c>
    </row>
    <row r="5">
      <c r="A5" s="22" t="inlineStr">
        <is>
          <t>GRN Register</t>
        </is>
      </c>
      <c r="B5" s="23">
        <f>COUNTA('GRN Register'!$A$5:$A$400)</f>
        <v/>
      </c>
      <c r="C5" s="30">
        <f>SUM('GRN Register'!$N$5:$N$400)</f>
        <v/>
      </c>
      <c r="D5" s="27">
        <f>SUM('GRN Register'!$T$5:$T$400)</f>
        <v/>
      </c>
    </row>
    <row r="6">
      <c r="A6" s="22" t="inlineStr">
        <is>
          <t>RM Move Register</t>
        </is>
      </c>
      <c r="B6" s="23">
        <f>COUNTA('RM Move Register'!$A$5:$A$400)</f>
        <v/>
      </c>
      <c r="C6" s="30">
        <f>SUM('RM Move Register'!$J$5:$J$400)</f>
        <v/>
      </c>
      <c r="D6" s="27">
        <f>SUM('RM Move Register'!$M$5:$M$400)</f>
        <v/>
      </c>
    </row>
    <row r="7">
      <c r="A7" s="22" t="inlineStr">
        <is>
          <t>Cons Issue Register</t>
        </is>
      </c>
      <c r="B7" s="23">
        <f>COUNTA('Cons Issue Register'!$A$5:$A$400)</f>
        <v/>
      </c>
      <c r="C7" s="30">
        <f>SUM('Cons Issue Register'!$F$5:$F$400)</f>
        <v/>
      </c>
      <c r="D7" s="27">
        <f>SUM('Cons Issue Register'!$H$5:$H$400)</f>
        <v/>
      </c>
    </row>
    <row r="8">
      <c r="A8" s="22" t="inlineStr">
        <is>
          <t>Adjust Register</t>
        </is>
      </c>
      <c r="B8" s="23">
        <f>COUNTA('Adjust Register'!$A$5:$A$400)</f>
        <v/>
      </c>
      <c r="C8" s="30">
        <f>SUM('Adjust Register'!$G$5:$G$400)</f>
        <v/>
      </c>
      <c r="D8" s="27">
        <f>SUM('Adjust Register'!$I$5:$I$400)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1" zoomScale="9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</cols>
  <sheetData>
    <row r="1">
      <c r="A1" s="15" t="inlineStr">
        <is>
          <t>SETTINGS</t>
        </is>
      </c>
    </row>
    <row r="2">
      <c r="A2" s="16" t="inlineStr">
        <is>
          <t>The only place parameters are set. Typed values - no TODAY(), no CELL(). Every change goes to the Change Log.</t>
        </is>
      </c>
    </row>
    <row r="4" ht="30" customHeight="1">
      <c r="A4" s="21" t="inlineStr">
        <is>
          <t>Setting</t>
        </is>
      </c>
      <c r="B4" s="21" t="inlineStr">
        <is>
          <t>Value</t>
        </is>
      </c>
      <c r="C4" s="21" t="inlineStr">
        <is>
          <t>Note</t>
        </is>
      </c>
    </row>
    <row r="5">
      <c r="A5" s="43" t="inlineStr">
        <is>
          <t>FY</t>
        </is>
      </c>
      <c r="B5" s="26" t="inlineStr">
        <is>
          <t>2027-28</t>
        </is>
      </c>
      <c r="C5" s="29" t="inlineStr">
        <is>
          <t>Financial year of this file</t>
        </is>
      </c>
    </row>
    <row r="6">
      <c r="A6" s="43" t="inlineStr">
        <is>
          <t>FYCode</t>
        </is>
      </c>
      <c r="B6" s="26" t="inlineStr">
        <is>
          <t>2728</t>
        </is>
      </c>
      <c r="C6" s="29" t="inlineStr">
        <is>
          <t>Used inside IDs</t>
        </is>
      </c>
    </row>
    <row r="7">
      <c r="A7" s="43" t="inlineStr">
        <is>
          <t>AsOnDate</t>
        </is>
      </c>
      <c r="B7" s="28" t="n">
        <v>46492</v>
      </c>
      <c r="C7" s="29" t="inlineStr">
        <is>
          <t>Typed by the owner each morning</t>
        </is>
      </c>
    </row>
    <row r="8">
      <c r="A8" s="43" t="inlineStr">
        <is>
          <t>LockDate</t>
        </is>
      </c>
      <c r="B8" s="28" t="n">
        <v>46477</v>
      </c>
      <c r="C8" s="29" t="inlineStr">
        <is>
          <t>Entries dated on/before this are rejected</t>
        </is>
      </c>
    </row>
    <row r="9">
      <c r="A9" s="43" t="inlineStr">
        <is>
          <t>Density</t>
        </is>
      </c>
      <c r="B9" s="26" t="n">
        <v>7.849999999999999e-06</v>
      </c>
      <c r="C9" s="29" t="inlineStr">
        <is>
          <t>kg per cubic mm (steel)</t>
        </is>
      </c>
    </row>
    <row r="10">
      <c r="A10" s="43" t="inlineStr">
        <is>
          <t>TolTheo</t>
        </is>
      </c>
      <c r="B10" s="26" t="n">
        <v>0.03</v>
      </c>
      <c r="C10" s="29" t="inlineStr">
        <is>
          <t>Theoretical-weight warning</t>
        </is>
      </c>
    </row>
    <row r="11">
      <c r="A11" s="43" t="inlineStr">
        <is>
          <t>TolRate</t>
        </is>
      </c>
      <c r="B11" s="26" t="n">
        <v>0.02</v>
      </c>
      <c r="C11" s="29" t="inlineStr">
        <is>
          <t>Bill vs PO rate warning</t>
        </is>
      </c>
    </row>
    <row r="12">
      <c r="A12" s="43" t="inlineStr">
        <is>
          <t>POPrefix</t>
        </is>
      </c>
      <c r="B12" s="26" t="inlineStr">
        <is>
          <t>PO/27-28/</t>
        </is>
      </c>
      <c r="C12" s="29" t="inlineStr">
        <is>
          <t>PO number prefix</t>
        </is>
      </c>
    </row>
    <row r="13">
      <c r="A13" s="43" t="inlineStr">
        <is>
          <t>AdjValueLimit</t>
        </is>
      </c>
      <c r="B13" s="26" t="n">
        <v>25000</v>
      </c>
      <c r="C13" s="29" t="inlineStr">
        <is>
          <t>Adjustments above this need MD approval</t>
        </is>
      </c>
    </row>
    <row r="14">
      <c r="A14" s="43" t="inlineStr">
        <is>
          <t>DataFolder</t>
        </is>
      </c>
      <c r="B14" s="26" t="inlineStr">
        <is>
          <t>D:\ISKO ERP\FY2027-28\</t>
        </is>
      </c>
      <c r="C14" s="29" t="inlineStr">
        <is>
          <t>Where all four books live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zoomScale="9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5" t="inlineStr">
        <is>
          <t>LISTS - dropdown sources</t>
        </is>
      </c>
    </row>
    <row r="2">
      <c r="A2" s="16" t="inlineStr">
        <is>
          <t>Visible; built from masters - no spill formulas.</t>
        </is>
      </c>
    </row>
    <row r="4" ht="30" customHeight="1">
      <c r="A4" s="21" t="inlineStr">
        <is>
          <t>Movement</t>
        </is>
      </c>
      <c r="B4" s="21" t="inlineStr">
        <is>
          <t>Form</t>
        </is>
      </c>
      <c r="C4" s="21" t="inlineStr">
        <is>
          <t>QC Status</t>
        </is>
      </c>
      <c r="D4" s="21" t="inlineStr">
        <is>
          <t>Excess Decision</t>
        </is>
      </c>
      <c r="E4" s="21" t="inlineStr">
        <is>
          <t>Stock Type</t>
        </is>
      </c>
      <c r="F4" s="21" t="inlineStr">
        <is>
          <t>Direction</t>
        </is>
      </c>
    </row>
    <row r="5">
      <c r="A5" s="29" t="inlineStr">
        <is>
          <t>ISSUE</t>
        </is>
      </c>
      <c r="B5" s="29" t="inlineStr">
        <is>
          <t>SHEET</t>
        </is>
      </c>
      <c r="C5" s="29" t="inlineStr">
        <is>
          <t>ACCEPTED</t>
        </is>
      </c>
      <c r="D5" s="29" t="inlineStr">
        <is>
          <t>ACCEPT EXCESS</t>
        </is>
      </c>
      <c r="E5" s="29" t="inlineStr">
        <is>
          <t>RM-LOT</t>
        </is>
      </c>
      <c r="F5" s="29" t="inlineStr">
        <is>
          <t>INCREASE</t>
        </is>
      </c>
    </row>
    <row r="6">
      <c r="A6" s="29" t="inlineStr">
        <is>
          <t>RETURN-USABLE</t>
        </is>
      </c>
      <c r="B6" s="29" t="inlineStr">
        <is>
          <t>OFFCUT</t>
        </is>
      </c>
      <c r="C6" s="29" t="inlineStr">
        <is>
          <t>ACCEPTED WITH REJECTION</t>
        </is>
      </c>
      <c r="D6" s="29" t="inlineStr">
        <is>
          <t>RETURN EXCESS</t>
        </is>
      </c>
      <c r="E6" s="29" t="inlineStr">
        <is>
          <t>CONSUMABLE</t>
        </is>
      </c>
      <c r="F6" s="29" t="inlineStr">
        <is>
          <t>DECREASE</t>
        </is>
      </c>
    </row>
    <row r="7">
      <c r="A7" s="29" t="inlineStr">
        <is>
          <t>RETURN-OFFCUT</t>
        </is>
      </c>
      <c r="B7" s="29" t="inlineStr">
        <is>
          <t>COIL</t>
        </is>
      </c>
      <c r="C7" s="29" t="inlineStr">
        <is>
          <t>HOLD</t>
        </is>
      </c>
      <c r="D7" s="29" t="n"/>
      <c r="E7" s="29" t="n"/>
      <c r="F7" s="29" t="n"/>
    </row>
    <row r="8">
      <c r="A8" s="29" t="inlineStr">
        <is>
          <t>RETURN-DAMAGED</t>
        </is>
      </c>
      <c r="B8" s="29" t="inlineStr">
        <is>
          <t>STRIP</t>
        </is>
      </c>
      <c r="C8" s="29" t="inlineStr">
        <is>
          <t>REJECTED</t>
        </is>
      </c>
      <c r="D8" s="29" t="n"/>
      <c r="E8" s="29" t="n"/>
      <c r="F8" s="29" t="n"/>
    </row>
    <row r="9">
      <c r="A9" s="29" t="inlineStr">
        <is>
          <t>STORES-SCRAP</t>
        </is>
      </c>
      <c r="B9" s="29" t="n"/>
      <c r="C9" s="29" t="n"/>
      <c r="D9" s="29" t="n"/>
      <c r="E9" s="29" t="n"/>
      <c r="F9" s="29" t="n"/>
    </row>
    <row r="10">
      <c r="A10" s="29" t="inlineStr">
        <is>
          <t>RETURN-TO-SUPPLIER</t>
        </is>
      </c>
      <c r="B10" s="29" t="n"/>
      <c r="C10" s="29" t="n"/>
      <c r="D10" s="29" t="n"/>
      <c r="E10" s="29" t="n"/>
      <c r="F10" s="2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2026-10-27T11:20:05Z</dcterms:created>
  <dcterms:modified xmlns:dcterms="http://purl.org/dc/terms/" xmlns:xsi="http://www.w3.org/2001/XMLSchema-instance" xsi:type="dcterms:W3CDTF">2026-10-27T11:20:05Z</dcterms:modified>
</cp:coreProperties>
</file>