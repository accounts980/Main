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 Entry" sheetId="2" state="visible" r:id="rId2"/>
    <sheet xmlns:r="http://schemas.openxmlformats.org/officeDocument/2006/relationships" name="Rej-Rework Entry" sheetId="3" state="visible" r:id="rId3"/>
    <sheet xmlns:r="http://schemas.openxmlformats.org/officeDocument/2006/relationships" name="Production Register" sheetId="4" state="visible" r:id="rId4"/>
    <sheet xmlns:r="http://schemas.openxmlformats.org/officeDocument/2006/relationships" name="Rej-Rework Register" sheetId="5" state="visible" r:id="rId5"/>
    <sheet xmlns:r="http://schemas.openxmlformats.org/officeDocument/2006/relationships" name="Batch Close Register" sheetId="6" state="visible" r:id="rId6"/>
    <sheet xmlns:r="http://schemas.openxmlformats.org/officeDocument/2006/relationships" name="Batch Balance" sheetId="7" state="visible" r:id="rId7"/>
    <sheet xmlns:r="http://schemas.openxmlformats.org/officeDocument/2006/relationships" name="WIP Balance" sheetId="8" state="visible" r:id="rId8"/>
    <sheet xmlns:r="http://schemas.openxmlformats.org/officeDocument/2006/relationships" name="Daily Output" sheetId="9" state="visible" r:id="rId9"/>
    <sheet xmlns:r="http://schemas.openxmlformats.org/officeDocument/2006/relationships" name="X_Batch" sheetId="10" state="visible" r:id="rId10"/>
    <sheet xmlns:r="http://schemas.openxmlformats.org/officeDocument/2006/relationships" name="X_Material" sheetId="11" state="visible" r:id="rId11"/>
    <sheet xmlns:r="http://schemas.openxmlformats.org/officeDocument/2006/relationships" name="X_Customer" sheetId="12" state="visible" r:id="rId12"/>
    <sheet xmlns:r="http://schemas.openxmlformats.org/officeDocument/2006/relationships" name="X_JWCSent" sheetId="13" state="visible" r:id="rId13"/>
    <sheet xmlns:r="http://schemas.openxmlformats.org/officeDocument/2006/relationships" name="M_Product" sheetId="14" state="visible" r:id="rId14"/>
    <sheet xmlns:r="http://schemas.openxmlformats.org/officeDocument/2006/relationships" name="M_Part" sheetId="15" state="visible" r:id="rId15"/>
    <sheet xmlns:r="http://schemas.openxmlformats.org/officeDocument/2006/relationships" name="M_BOM_Model" sheetId="16" state="visible" r:id="rId16"/>
    <sheet xmlns:r="http://schemas.openxmlformats.org/officeDocument/2006/relationships" name="M_BOM" sheetId="17" state="visible" r:id="rId17"/>
    <sheet xmlns:r="http://schemas.openxmlformats.org/officeDocument/2006/relationships" name="M_Stage_Route" sheetId="18" state="visible" r:id="rId18"/>
    <sheet xmlns:r="http://schemas.openxmlformats.org/officeDocument/2006/relationships" name="M_Machine" sheetId="19" state="visible" r:id="rId19"/>
    <sheet xmlns:r="http://schemas.openxmlformats.org/officeDocument/2006/relationships" name="M_People" sheetId="20" state="visible" r:id="rId20"/>
    <sheet xmlns:r="http://schemas.openxmlformats.org/officeDocument/2006/relationships" name="M_Reason" sheetId="21" state="visible" r:id="rId21"/>
    <sheet xmlns:r="http://schemas.openxmlformats.org/officeDocument/2006/relationships" name="Control Totals" sheetId="22" state="visible" r:id="rId22"/>
    <sheet xmlns:r="http://schemas.openxmlformats.org/officeDocument/2006/relationships" name="Refresh Log" sheetId="23" state="visible" r:id="rId23"/>
    <sheet xmlns:r="http://schemas.openxmlformats.org/officeDocument/2006/relationships" name="Settings" sheetId="24" state="visible" r:id="rId24"/>
    <sheet xmlns:r="http://schemas.openxmlformats.org/officeDocument/2006/relationships" name="List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"/>
    <numFmt numFmtId="166" formatCode="#,##0.000"/>
    <numFmt numFmtId="167" formatCode="yyyy-mm-dd h:mm:ss"/>
    <numFmt numFmtId="168" formatCode="dd-mmm-yy hh:mm"/>
    <numFmt numFmtId="169" formatCode="0.0%"/>
  </numFmts>
  <fonts count="9">
    <font>
      <name val="Calibri"/>
      <family val="2"/>
      <color theme="1"/>
      <sz val="11"/>
      <scheme val="minor"/>
    </font>
    <font>
      <b val="1"/>
      <color rgb="00243247"/>
      <sz val="14"/>
    </font>
    <font>
      <i val="1"/>
      <color rgb="00B5525A"/>
      <sz val="9"/>
    </font>
    <font>
      <b val="1"/>
      <color rgb="00243247"/>
      <sz val="10"/>
    </font>
    <font>
      <color rgb="00243247"/>
      <sz val="10"/>
    </font>
    <font>
      <b val="1"/>
      <color rgb="00243247"/>
      <sz val="9.5"/>
    </font>
    <font>
      <color rgb="00243247"/>
      <sz val="9.5"/>
    </font>
    <font>
      <b val="1"/>
      <color rgb="00243247"/>
      <sz val="13"/>
    </font>
    <font>
      <i val="1"/>
      <color rgb="005A6B82"/>
      <sz val="9"/>
    </font>
  </fonts>
  <fills count="11">
    <fill>
      <patternFill/>
    </fill>
    <fill>
      <patternFill patternType="gray125"/>
    </fill>
    <fill>
      <patternFill patternType="solid">
        <fgColor rgb="00EAE4F8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E2F0E8"/>
      </patternFill>
    </fill>
    <fill>
      <patternFill patternType="solid">
        <fgColor rgb="00F7F9FC"/>
      </patternFill>
    </fill>
    <fill>
      <patternFill patternType="solid">
        <fgColor rgb="00F8DCDD"/>
      </patternFill>
    </fill>
    <fill>
      <patternFill patternType="solid">
        <fgColor rgb="00FCECC9"/>
      </patternFill>
    </fill>
    <fill>
      <patternFill patternType="solid">
        <fgColor rgb="00D9F0EF"/>
      </patternFill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left style="thin">
        <color rgb="00D9E0E8"/>
      </left>
      <right style="thin">
        <color rgb="00D9E0E8"/>
      </right>
      <top style="thin">
        <color rgb="00D9E0E8"/>
      </top>
      <bottom style="thin">
        <color rgb="00D9E0E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10" borderId="1" applyAlignment="1" pivotButton="0" quotePrefix="0" xfId="0">
      <alignment vertical="center" wrapText="1"/>
    </xf>
    <xf numFmtId="0" fontId="6" fillId="5" borderId="1" pivotButton="0" quotePrefix="0" xfId="0"/>
    <xf numFmtId="165" fontId="6" fillId="4" borderId="1" pivotButton="0" quotePrefix="0" xfId="0"/>
    <xf numFmtId="0" fontId="6" fillId="4" borderId="1" pivotButton="0" quotePrefix="0" xfId="0"/>
    <xf numFmtId="166" fontId="6" fillId="5" borderId="1" pivotButton="0" quotePrefix="0" xfId="0"/>
    <xf numFmtId="166" fontId="6" fillId="4" borderId="1" pivotButton="0" quotePrefix="0" xfId="0"/>
    <xf numFmtId="166" fontId="6" fillId="6" borderId="1" pivotButton="0" quotePrefix="0" xfId="0"/>
    <xf numFmtId="0" fontId="6" fillId="3" borderId="1" pivotButton="0" quotePrefix="0" xfId="0"/>
    <xf numFmtId="0" fontId="6" fillId="6" borderId="1" pivotButton="0" quotePrefix="0" xfId="0"/>
    <xf numFmtId="165" fontId="6" fillId="5" borderId="1" pivotButton="0" quotePrefix="0" xfId="0"/>
    <xf numFmtId="168" fontId="6" fillId="5" borderId="1" pivotButton="0" quotePrefix="0" xfId="0"/>
    <xf numFmtId="165" fontId="6" fillId="6" borderId="1" pivotButton="0" quotePrefix="0" xfId="0"/>
    <xf numFmtId="166" fontId="6" fillId="9" borderId="1" pivotButton="0" quotePrefix="0" xfId="0"/>
    <xf numFmtId="169" fontId="6" fillId="5" borderId="1" pivotButton="0" quotePrefix="0" xfId="0"/>
    <xf numFmtId="4" fontId="6" fillId="5" borderId="1" pivotButton="0" quotePrefix="0" xfId="0"/>
    <xf numFmtId="0" fontId="6" fillId="9" borderId="1" pivotButton="0" quotePrefix="0" xfId="0"/>
    <xf numFmtId="0" fontId="5" fillId="2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4" fontId="6" fillId="6" borderId="1" pivotButton="0" quotePrefix="0" xfId="0"/>
    <xf numFmtId="4" fontId="6" fillId="4" borderId="1" pivotButton="0" quotePrefix="0" xfId="0"/>
    <xf numFmtId="168" fontId="6" fillId="6" borderId="1" pivotButton="0" quotePrefix="0" xfId="0"/>
    <xf numFmtId="0" fontId="6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E8"/>
        </patternFill>
      </fill>
    </dxf>
    <dxf>
      <fill>
        <patternFill patternType="solid">
          <fgColor rgb="00FCECC9"/>
        </patternFill>
      </fill>
    </dxf>
    <dxf>
      <fill>
        <patternFill patternType="solid">
          <fgColor rgb="00F8DC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tblProductionRegister" displayName="tblProductionRegister" ref="A4:R10" headerRowCount="1">
  <autoFilter ref="A4:R10"/>
  <tableColumns count="18">
    <tableColumn id="1" name="Prod ID"/>
    <tableColumn id="2" name="Prod Date"/>
    <tableColumn id="3" name="Shift"/>
    <tableColumn id="4" name="Machine ID"/>
    <tableColumn id="5" name="Stage"/>
    <tableColumn id="6" name="Batch ID"/>
    <tableColumn id="7" name="Lot ID"/>
    <tableColumn id="8" name="Product ID"/>
    <tableColumn id="9" name="Part ID"/>
    <tableColumn id="10" name="Drawing / Rev"/>
    <tableColumn id="11" name="Qty"/>
    <tableColumn id="12" name="Wt/pc kg"/>
    <tableColumn id="13" name="Output kg"/>
    <tableColumn id="14" name="Scrap kg"/>
    <tableColumn id="15" name="Operator"/>
    <tableColumn id="16" name="QC"/>
    <tableColumn id="17" name="Dup Key"/>
    <tableColumn id="18" name="Posted At"/>
  </tableColumns>
  <tableStyleInfo name="TableStyleLight1" showRowStripes="0"/>
</table>
</file>

<file path=xl/tables/table2.xml><?xml version="1.0" encoding="utf-8"?>
<table xmlns="http://schemas.openxmlformats.org/spreadsheetml/2006/main" id="2" name="tblRejReworkRegister" displayName="tblRejReworkRegister" ref="A4:M7" headerRowCount="1">
  <autoFilter ref="A4:M7"/>
  <tableColumns count="13">
    <tableColumn id="1" name="Event ID"/>
    <tableColumn id="2" name="Event Date"/>
    <tableColumn id="3" name="Event Type"/>
    <tableColumn id="4" name="Case ID"/>
    <tableColumn id="5" name="Source Prod ID"/>
    <tableColumn id="6" name="Stage"/>
    <tableColumn id="7" name="Part ID"/>
    <tableColumn id="8" name="Qty"/>
    <tableColumn id="9" name="kg"/>
    <tableColumn id="10" name="Reason Code"/>
    <tableColumn id="11" name="Responsibility"/>
    <tableColumn id="12" name="Disposition"/>
    <tableColumn id="13" name="Posted At"/>
  </tableColumns>
  <tableStyleInfo name="TableStyleLight1" showRowStripes="0"/>
</table>
</file>

<file path=xl/tables/table3.xml><?xml version="1.0" encoding="utf-8"?>
<table xmlns="http://schemas.openxmlformats.org/spreadsheetml/2006/main" id="3" name="tblBatchBalance" displayName="tblBatchBalance" ref="A4:P7" headerRowCount="1">
  <autoFilter ref="A4:P7"/>
  <tableColumns count="16">
    <tableColumn id="1" name="Batch ID"/>
    <tableColumn id="2" name="Issue Date"/>
    <tableColumn id="3" name="Machine"/>
    <tableColumn id="4" name="Lot ID"/>
    <tableColumn id="5" name="Issued kg"/>
    <tableColumn id="6" name="Returned kg"/>
    <tableColumn id="7" name="Net kg"/>
    <tableColumn id="8" name="Cut Output kg"/>
    <tableColumn id="9" name="Cut Scrap kg"/>
    <tableColumn id="10" name="Stores Scrap kg"/>
    <tableColumn id="11" name="kg Left"/>
    <tableColumn id="12" name="Var %"/>
    <tableColumn id="13" name="Variance Rs"/>
    <tableColumn id="14" name="Lines"/>
    <tableColumn id="15" name="Days Open"/>
    <tableColumn id="16" name="Status"/>
  </tableColumns>
  <tableStyleInfo name="TableStyleLight1" showRowStripes="0"/>
</table>
</file>

<file path=xl/tables/table4.xml><?xml version="1.0" encoding="utf-8"?>
<table xmlns="http://schemas.openxmlformats.org/spreadsheetml/2006/main" id="4" name="tblWipBalance" displayName="tblWipBalance" ref="A4:J10" headerRowCount="1">
  <autoFilter ref="A4:J10"/>
  <tableColumns count="10">
    <tableColumn id="1" name="Part ID"/>
    <tableColumn id="2" name="Stage"/>
    <tableColumn id="3" name="Route"/>
    <tableColumn id="4" name="Next Stage"/>
    <tableColumn id="5" name="Qty In"/>
    <tableColumn id="6" name="Qty Moved On"/>
    <tableColumn id="7" name="Rejected (net)"/>
    <tableColumn id="8" name="WIP Qty"/>
    <tableColumn id="9" name="WIP kg"/>
    <tableColumn id="10" name="Status"/>
  </tableColumns>
  <tableStyleInfo name="TableStyleLight1" showRowStripes="0"/>
</table>
</file>

<file path=xl/tables/table5.xml><?xml version="1.0" encoding="utf-8"?>
<table xmlns="http://schemas.openxmlformats.org/spreadsheetml/2006/main" id="5" name="tblXBatch" displayName="tblXBatch" ref="A4:K7" headerRowCount="1">
  <autoFilter ref="A4:K7"/>
  <tableColumns count="11">
    <tableColumn id="1" name="Batch ID"/>
    <tableColumn id="2" name="Issue Date"/>
    <tableColumn id="3" name="Machine ID"/>
    <tableColumn id="4" name="Lot ID"/>
    <tableColumn id="5" name="Material ID"/>
    <tableColumn id="6" name="Issued kg"/>
    <tableColumn id="7" name="Issued Sh"/>
    <tableColumn id="8" name="Returned kg"/>
    <tableColumn id="9" name="Stores Scrap kg"/>
    <tableColumn id="10" name="Rate Rs"/>
    <tableColumn id="11" name="Run ID"/>
  </tableColumns>
  <tableStyleInfo name="TableStyleLight1" showRowStripes="0"/>
</table>
</file>

<file path=xl/tables/table6.xml><?xml version="1.0" encoding="utf-8"?>
<table xmlns="http://schemas.openxmlformats.org/spreadsheetml/2006/main" id="6" name="tblXMaterial" displayName="tblXMaterial" ref="A4:D8" headerRowCount="1">
  <autoFilter ref="A4:D8"/>
  <tableColumns count="4">
    <tableColumn id="1" name="Material ID"/>
    <tableColumn id="2" name="Grade"/>
    <tableColumn id="3" name="Thk mm"/>
    <tableColumn id="4" name="Active"/>
  </tableColumns>
  <tableStyleInfo name="TableStyleLight1" showRowStripes="0"/>
</table>
</file>

<file path=xl/tables/table7.xml><?xml version="1.0" encoding="utf-8"?>
<table xmlns="http://schemas.openxmlformats.org/spreadsheetml/2006/main" id="7" name="tblXCustomer" displayName="tblXCustomer" ref="A4:C6" headerRowCount="1">
  <autoFilter ref="A4:C6"/>
  <tableColumns count="3">
    <tableColumn id="1" name="Customer ID"/>
    <tableColumn id="2" name="Customer"/>
    <tableColumn id="3" name="Active"/>
  </tableColumns>
  <tableStyleInfo name="TableStyleLight1" showRowStripes="0"/>
</table>
</file>

<file path=xl/tables/table8.xml><?xml version="1.0" encoding="utf-8"?>
<table xmlns="http://schemas.openxmlformats.org/spreadsheetml/2006/main" id="8" name="tblXJwcsent" displayName="tblXJwcsent" ref="A4:C6" headerRowCount="1">
  <autoFilter ref="A4:C6"/>
  <tableColumns count="3">
    <tableColumn id="1" name="Part ID"/>
    <tableColumn id="2" name="Sent on JWC Qty"/>
    <tableColumn id="3" name="Run ID"/>
  </tableColumns>
  <tableStyleInfo name="TableStyleLight1" showRowStripes="0"/>
</table>
</file>

<file path=xl/tables/table9.xml><?xml version="1.0" encoding="utf-8"?>
<table xmlns="http://schemas.openxmlformats.org/spreadsheetml/2006/main" id="9" name="tblMProduct" displayName="tblMProduct" ref="A4:H7" headerRowCount="1">
  <autoFilter ref="A4:H7"/>
  <tableColumns count="8">
    <tableColumn id="1" name="Product ID"/>
    <tableColumn id="2" name="Product Name"/>
    <tableColumn id="3" name="Customer ID"/>
    <tableColumn id="4" name="Category"/>
    <tableColumn id="5" name="BOM Model"/>
    <tableColumn id="6" name="Coating Route"/>
    <tableColumn id="7" name="Active"/>
    <tableColumn id="8" name="Effective From"/>
  </tableColumns>
  <tableStyleInfo name="TableStyleLight1" showRowStripes="0"/>
</table>
</file>

<file path=xl/tables/table10.xml><?xml version="1.0" encoding="utf-8"?>
<table xmlns="http://schemas.openxmlformats.org/spreadsheetml/2006/main" id="10" name="tblMPart" displayName="tblMPart" ref="A4:K8" headerRowCount="1">
  <autoFilter ref="A4:K8"/>
  <tableColumns count="11">
    <tableColumn id="1" name="Part ID"/>
    <tableColumn id="2" name="Product ID"/>
    <tableColumn id="3" name="Part Name"/>
    <tableColumn id="4" name="Drawing No"/>
    <tableColumn id="5" name="Rev"/>
    <tableColumn id="6" name="Material ID"/>
    <tableColumn id="7" name="Thk mm"/>
    <tableColumn id="8" name="Wt/pc kg"/>
    <tableColumn id="9" name="Sq ft/pc"/>
    <tableColumn id="10" name="Route"/>
    <tableColumn id="11" name="Active"/>
  </tableColumns>
  <tableStyleInfo name="TableStyleLight1" showRowStripes="0"/>
</table>
</file>

<file path=xl/tables/table11.xml><?xml version="1.0" encoding="utf-8"?>
<table xmlns="http://schemas.openxmlformats.org/spreadsheetml/2006/main" id="11" name="tblMBomModel" displayName="tblMBomModel" ref="A4:F7" headerRowCount="1">
  <autoFilter ref="A4:F7"/>
  <tableColumns count="6">
    <tableColumn id="1" name="BOM Model"/>
    <tableColumn id="2" name="Product ID"/>
    <tableColumn id="3" name="Edition"/>
    <tableColumn id="4" name="Effective From"/>
    <tableColumn id="5" name="Review Due"/>
    <tableColumn id="6" name="Set Wt kg"/>
  </tableColumns>
  <tableStyleInfo name="TableStyleLight1" showRowStripes="0"/>
</table>
</file>

<file path=xl/tables/table12.xml><?xml version="1.0" encoding="utf-8"?>
<table xmlns="http://schemas.openxmlformats.org/spreadsheetml/2006/main" id="12" name="tblMBom" displayName="tblMBom" ref="A4:I8" headerRowCount="1">
  <autoFilter ref="A4:I8"/>
  <tableColumns count="9">
    <tableColumn id="1" name="BOM Model"/>
    <tableColumn id="2" name="SR No"/>
    <tableColumn id="3" name="Parent SR"/>
    <tableColumn id="4" name="Part ID"/>
    <tableColumn id="5" name="Material ID"/>
    <tableColumn id="6" name="Blank Wt kg"/>
    <tableColumn id="7" name="Qty/Set"/>
    <tableColumn id="8" name="Wt per Set kg"/>
    <tableColumn id="9" name="Costable"/>
  </tableColumns>
  <tableStyleInfo name="TableStyleLight1" showRowStripes="0"/>
</table>
</file>

<file path=xl/tables/table13.xml><?xml version="1.0" encoding="utf-8"?>
<table xmlns="http://schemas.openxmlformats.org/spreadsheetml/2006/main" id="13" name="tblMStageRoute" displayName="tblMStageRoute" ref="A4:E11" headerRowCount="1">
  <autoFilter ref="A4:E11"/>
  <tableColumns count="5">
    <tableColumn id="1" name="Route"/>
    <tableColumn id="2" name="Seq"/>
    <tableColumn id="3" name="Stage"/>
    <tableColumn id="4" name="Next Stage"/>
    <tableColumn id="5" name="Ends In"/>
  </tableColumns>
  <tableStyleInfo name="TableStyleLight1" showRowStripes="0"/>
</table>
</file>

<file path=xl/tables/table14.xml><?xml version="1.0" encoding="utf-8"?>
<table xmlns="http://schemas.openxmlformats.org/spreadsheetml/2006/main" id="14" name="tblMMachine" displayName="tblMMachine" ref="A4:E9" headerRowCount="1">
  <autoFilter ref="A4:E9"/>
  <tableColumns count="5">
    <tableColumn id="1" name="Machine ID"/>
    <tableColumn id="2" name="Machine"/>
    <tableColumn id="3" name="Process"/>
    <tableColumn id="4" name="Status"/>
    <tableColumn id="5" name="Capacity kg/day (Phase 2)"/>
  </tableColumns>
  <tableStyleInfo name="TableStyleLight1" showRowStripes="0"/>
</table>
</file>

<file path=xl/tables/table15.xml><?xml version="1.0" encoding="utf-8"?>
<table xmlns="http://schemas.openxmlformats.org/spreadsheetml/2006/main" id="15" name="tblMPeople" displayName="tblMPeople" ref="A4:E11" headerRowCount="1">
  <autoFilter ref="A4:E11"/>
  <tableColumns count="5">
    <tableColumn id="1" name="Person ID"/>
    <tableColumn id="2" name="Name (masked)"/>
    <tableColumn id="3" name="Role"/>
    <tableColumn id="4" name="Department"/>
    <tableColumn id="5" name="Active"/>
  </tableColumns>
  <tableStyleInfo name="TableStyleLight1" showRowStripes="0"/>
</table>
</file>

<file path=xl/tables/table16.xml><?xml version="1.0" encoding="utf-8"?>
<table xmlns="http://schemas.openxmlformats.org/spreadsheetml/2006/main" id="16" name="tblMReason" displayName="tblMReason" ref="A4:C7" headerRowCount="1">
  <autoFilter ref="A4:C7"/>
  <tableColumns count="3">
    <tableColumn id="1" name="Code"/>
    <tableColumn id="2" name="Reason Group"/>
    <tableColumn id="3" name="Reason"/>
  </tableColumns>
  <tableStyleInfo name="TableStyleLight1" showRowStripes="0"/>
</table>
</file>

<file path=xl/tables/table17.xml><?xml version="1.0" encoding="utf-8"?>
<table xmlns="http://schemas.openxmlformats.org/spreadsheetml/2006/main" id="17" name="tblControlTotals" displayName="tblControlTotals" ref="A4:D6" headerRowCount="1">
  <autoFilter ref="A4:D6"/>
  <tableColumns count="4">
    <tableColumn id="1" name="Register"/>
    <tableColumn id="2" name="Rows"/>
    <tableColumn id="3" name="Total Qty"/>
    <tableColumn id="4" name="Total kg"/>
  </tableColumns>
  <tableStyleInfo name="TableStyleLight1" showRowStripes="0"/>
</table>
</file>

<file path=xl/tables/table18.xml><?xml version="1.0" encoding="utf-8"?>
<table xmlns="http://schemas.openxmlformats.org/spreadsheetml/2006/main" id="18" name="tblRefreshLog" displayName="tblRefreshLog" ref="A4:H5" headerRowCount="1">
  <autoFilter ref="A4:H5"/>
  <tableColumns count="8">
    <tableColumn id="1" name="Run ID"/>
    <tableColumn id="2" name="Refreshed At"/>
    <tableColumn id="3" name="Source File"/>
    <tableColumn id="4" name="Source Saved"/>
    <tableColumn id="5" name="Rows"/>
    <tableColumn id="6" name="Distinct IDs"/>
    <tableColumn id="7" name="Control kg"/>
    <tableColumn id="8" name="Statu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2 ISKO PRODUCTION FY2027-28 - cutting, bending, fabrication, rejection / rework, batch balance, WIP</t>
        </is>
      </c>
    </row>
    <row r="2">
      <c r="A2" s="2" t="inlineStr">
        <is>
          <t>PROTOTYPE - sample / masked data - layout of the target design, not the live ERP</t>
        </is>
      </c>
    </row>
    <row r="4">
      <c r="A4" s="3" t="inlineStr">
        <is>
          <t>Daily routine</t>
        </is>
      </c>
      <c r="B4" s="4" t="inlineStr"/>
    </row>
    <row r="5">
      <c r="A5" s="5" t="inlineStr">
        <is>
          <t>Start of shift</t>
        </is>
      </c>
      <c r="B5" s="4" t="inlineStr">
        <is>
          <t>Refresh All: X_Batch (open batches from Stores). Check Batch Balance is current.</t>
        </is>
      </c>
    </row>
    <row r="6">
      <c r="A6" s="5" t="inlineStr">
        <is>
          <t>Through the shift</t>
        </is>
      </c>
      <c r="B6" s="4" t="inlineStr">
        <is>
          <t>Type in Prod Entry / Rej-Rework Entry. Post READY rows. A cutting line can never use more than the batch has left.</t>
        </is>
      </c>
    </row>
    <row r="7">
      <c r="A7" s="5" t="inlineStr">
        <is>
          <t>Batch finished</t>
        </is>
      </c>
      <c r="B7" s="4" t="inlineStr">
        <is>
          <t>Post a Batch Close row (variance above tolerance needs reason + approver).</t>
        </is>
      </c>
    </row>
    <row r="8">
      <c r="A8" s="5" t="inlineStr">
        <is>
          <t>Never</t>
        </is>
      </c>
      <c r="B8" s="4" t="inlineStr">
        <is>
          <t>Count WIP - WIP is calculated from postings.</t>
        </is>
      </c>
    </row>
    <row r="11">
      <c r="A11" s="6" t="inlineStr">
        <is>
          <t>Cell colours</t>
        </is>
      </c>
      <c r="B11" s="7" t="inlineStr"/>
    </row>
    <row r="12">
      <c r="A12" s="8" t="inlineStr">
        <is>
          <t>Cream</t>
        </is>
      </c>
      <c r="B12" s="7" t="inlineStr">
        <is>
          <t>you type or pick here</t>
        </is>
      </c>
    </row>
    <row r="13">
      <c r="A13" s="9" t="inlineStr">
        <is>
          <t>Mint</t>
        </is>
      </c>
      <c r="B13" s="7" t="inlineStr">
        <is>
          <t>calculated / snapshot - posted as value</t>
        </is>
      </c>
    </row>
    <row r="14">
      <c r="A14" s="10" t="inlineStr">
        <is>
          <t>Light grey</t>
        </is>
      </c>
      <c r="B14" s="7" t="inlineStr">
        <is>
          <t>lookup shown for information</t>
        </is>
      </c>
    </row>
    <row r="15">
      <c r="A15" s="11" t="inlineStr">
        <is>
          <t>Coral</t>
        </is>
      </c>
      <c r="B15" s="7" t="inlineStr">
        <is>
          <t>hard stop - row cannot be posted</t>
        </is>
      </c>
    </row>
    <row r="16">
      <c r="A16" s="12" t="inlineStr">
        <is>
          <t>Amber</t>
        </is>
      </c>
      <c r="B16" s="7" t="inlineStr">
        <is>
          <t>warning - post only with an authorised reason</t>
        </is>
      </c>
    </row>
    <row r="17">
      <c r="A17" s="13" t="inlineStr">
        <is>
          <t>Teal</t>
        </is>
      </c>
      <c r="B17" s="7" t="inlineStr">
        <is>
          <t>totals</t>
        </is>
      </c>
    </row>
    <row r="18">
      <c r="A18" s="14" t="inlineStr">
        <is>
          <t>Blue</t>
        </is>
      </c>
      <c r="B18" s="7" t="inlineStr">
        <is>
          <t>column headers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5" customWidth="1" min="3" max="3"/>
    <col width="8" customWidth="1" min="4" max="4"/>
    <col width="11" customWidth="1" min="5" max="5"/>
    <col width="15" customWidth="1" min="6" max="6"/>
    <col width="12" customWidth="1" min="7" max="7"/>
    <col width="10" customWidth="1" min="8" max="8"/>
    <col width="8" customWidth="1" min="9" max="9"/>
    <col width="10" customWidth="1" min="10" max="10"/>
    <col width="5" customWidth="1" min="11" max="11"/>
    <col width="7" customWidth="1" min="12" max="12"/>
    <col width="9" customWidth="1" min="13" max="13"/>
    <col width="7" customWidth="1" min="14" max="14"/>
    <col width="9" customWidth="1" min="15" max="15"/>
    <col width="8" customWidth="1" min="16" max="16"/>
    <col width="28" customWidth="1" min="17" max="17"/>
    <col width="36" customWidth="1" min="18" max="18"/>
  </cols>
  <sheetData>
    <row r="1">
      <c r="A1" s="15" t="inlineStr">
        <is>
          <t>PRODUCTION ENTRY PAD</t>
        </is>
      </c>
    </row>
    <row r="2">
      <c r="A2" s="16" t="inlineStr">
        <is>
          <t>Cutting lines must quote an open batch of the machine. Output kg = qty x Wt/pc from the part master (frozen at posting).</t>
        </is>
      </c>
    </row>
    <row r="4" ht="30" customHeight="1">
      <c r="A4" s="17" t="inlineStr">
        <is>
          <t>Prod ID</t>
        </is>
      </c>
      <c r="B4" s="17" t="inlineStr">
        <is>
          <t>Prod Date</t>
        </is>
      </c>
      <c r="C4" s="17" t="inlineStr">
        <is>
          <t>Shift</t>
        </is>
      </c>
      <c r="D4" s="17" t="inlineStr">
        <is>
          <t>Machine ID</t>
        </is>
      </c>
      <c r="E4" s="17" t="inlineStr">
        <is>
          <t>Stage</t>
        </is>
      </c>
      <c r="F4" s="17" t="inlineStr">
        <is>
          <t>Batch ID</t>
        </is>
      </c>
      <c r="G4" s="17" t="inlineStr">
        <is>
          <t>Lot ID</t>
        </is>
      </c>
      <c r="H4" s="17" t="inlineStr">
        <is>
          <t>Part ID</t>
        </is>
      </c>
      <c r="I4" s="17" t="inlineStr">
        <is>
          <t>Product ID</t>
        </is>
      </c>
      <c r="J4" s="17" t="inlineStr">
        <is>
          <t>Drawing / Rev</t>
        </is>
      </c>
      <c r="K4" s="17" t="inlineStr">
        <is>
          <t>Qty</t>
        </is>
      </c>
      <c r="L4" s="17" t="inlineStr">
        <is>
          <t>Wt/pc kg</t>
        </is>
      </c>
      <c r="M4" s="17" t="inlineStr">
        <is>
          <t>Output kg</t>
        </is>
      </c>
      <c r="N4" s="17" t="inlineStr">
        <is>
          <t>Scrap kg</t>
        </is>
      </c>
      <c r="O4" s="17" t="inlineStr">
        <is>
          <t>Batch kg Left</t>
        </is>
      </c>
      <c r="P4" s="17" t="inlineStr">
        <is>
          <t>Operator</t>
        </is>
      </c>
      <c r="Q4" s="17" t="inlineStr">
        <is>
          <t>Dup Key</t>
        </is>
      </c>
      <c r="R4" s="17" t="inlineStr">
        <is>
          <t>Ready / issues</t>
        </is>
      </c>
    </row>
    <row r="5">
      <c r="A5" s="18">
        <f>IF(D5="","","PRD-"&amp;'Settings'!$B$6&amp;"-"&amp;TEXT(COUNTA('Production Register'!$A$5:$A$400)+ROW()-4,"000000"))</f>
        <v/>
      </c>
      <c r="B5" s="19" t="n">
        <v>46492</v>
      </c>
      <c r="C5" s="20" t="inlineStr">
        <is>
          <t>A</t>
        </is>
      </c>
      <c r="D5" s="20" t="inlineStr">
        <is>
          <t>MC-01</t>
        </is>
      </c>
      <c r="E5" s="18">
        <f>IF(D5="","",INDEX('M_Machine'!$C$5:$C$50,MATCH(D5,'M_Machine'!$A$5:$A$50,0)))</f>
        <v/>
      </c>
      <c r="F5" s="20" t="inlineStr">
        <is>
          <t>ISS-2728-000001</t>
        </is>
      </c>
      <c r="G5" s="18">
        <f>IF(F5="","",IFERROR(INDEX('X_Batch'!$D$5:$D$400,MATCH(F5,'X_Batch'!$A$5:$A$400,0)),"NOT OPEN"))</f>
        <v/>
      </c>
      <c r="H5" s="20" t="inlineStr">
        <is>
          <t>A12-SP-04</t>
        </is>
      </c>
      <c r="I5" s="18">
        <f>IF(H5="","",INDEX('M_Part'!$B$5:$B$50,MATCH(H5,'M_Part'!$A$5:$A$50,0)))</f>
        <v/>
      </c>
      <c r="J5" s="18">
        <f>IF(H5="","",INDEX('M_Part'!$D$5:$D$50,MATCH(H5,'M_Part'!$A$5:$A$50,0))&amp;" / "&amp;INDEX('M_Part'!$E$5:$E$50,MATCH(H5,'M_Part'!$A$5:$A$50,0)))</f>
        <v/>
      </c>
      <c r="K5" s="20" t="n">
        <v>20</v>
      </c>
      <c r="L5" s="21">
        <f>IF(H5="","",INDEX('M_Part'!$H$5:$H$50,MATCH(H5,'M_Part'!$A$5:$A$50,0)))</f>
        <v/>
      </c>
      <c r="M5" s="21">
        <f>IF(K5="","",ROUND(K5*L5,3))</f>
        <v/>
      </c>
      <c r="N5" s="22" t="n">
        <v>3</v>
      </c>
      <c r="O5" s="23">
        <f>IF(F5="","",IFERROR(INDEX('Batch Balance'!$K$5:$K$100,MATCH(F5,'Batch Balance'!$A$5:$A$100,0)),0)-SUMIFS(M$4:M4,F$4:F4,F5)-SUMIFS(N$4:N4,F$4:F4,F5))</f>
        <v/>
      </c>
      <c r="P5" s="20" t="inlineStr">
        <is>
          <t>PER-021</t>
        </is>
      </c>
      <c r="Q5" s="18">
        <f>IF(D5="","",B5&amp;"|"&amp;C5&amp;"|"&amp;D5&amp;"|"&amp;F5&amp;"|"&amp;H5&amp;"|"&amp;K5)</f>
        <v/>
      </c>
      <c r="R5" s="24">
        <f>IF(D5="","",IF(AND(E5="CUTTING",F5=""),"CUTTING NEEDS A BATCH",IF(G5="NOT OPEN","BATCH NOT OPEN",IF(AND(E5="CUTTING",N(M5)+N(N5)&gt;N(O5)+MAX('Settings'!$B$10,'Settings'!$B$9*N(O5))),"OVER BATCH by "&amp;TEXT(N(M5)+N(N5)-N(O5),"0.0")&amp;" kg",IF(COUNTIF('Production Register'!$Q$5:$Q$400,Q5)&gt;0,"WARN: POSSIBLE DUPLICATE - same key posted","READY")))))</f>
        <v/>
      </c>
    </row>
    <row r="6">
      <c r="A6" s="18">
        <f>IF(D6="","","PRD-"&amp;'Settings'!$B$6&amp;"-"&amp;TEXT(COUNTA('Production Register'!$A$5:$A$400)+ROW()-4,"000000"))</f>
        <v/>
      </c>
      <c r="B6" s="19" t="n">
        <v>46492</v>
      </c>
      <c r="C6" s="20" t="inlineStr">
        <is>
          <t>A</t>
        </is>
      </c>
      <c r="D6" s="20" t="inlineStr">
        <is>
          <t>MC-01</t>
        </is>
      </c>
      <c r="E6" s="18">
        <f>IF(D6="","",INDEX('M_Machine'!$C$5:$C$50,MATCH(D6,'M_Machine'!$A$5:$A$50,0)))</f>
        <v/>
      </c>
      <c r="F6" s="20" t="inlineStr">
        <is>
          <t>ISS-2728-000001</t>
        </is>
      </c>
      <c r="G6" s="18">
        <f>IF(F6="","",IFERROR(INDEX('X_Batch'!$D$5:$D$400,MATCH(F6,'X_Batch'!$A$5:$A$400,0)),"NOT OPEN"))</f>
        <v/>
      </c>
      <c r="H6" s="20" t="inlineStr">
        <is>
          <t>A12-SP-04</t>
        </is>
      </c>
      <c r="I6" s="18">
        <f>IF(H6="","",INDEX('M_Part'!$B$5:$B$50,MATCH(H6,'M_Part'!$A$5:$A$50,0)))</f>
        <v/>
      </c>
      <c r="J6" s="18">
        <f>IF(H6="","",INDEX('M_Part'!$D$5:$D$50,MATCH(H6,'M_Part'!$A$5:$A$50,0))&amp;" / "&amp;INDEX('M_Part'!$E$5:$E$50,MATCH(H6,'M_Part'!$A$5:$A$50,0)))</f>
        <v/>
      </c>
      <c r="K6" s="20" t="n">
        <v>10</v>
      </c>
      <c r="L6" s="21">
        <f>IF(H6="","",INDEX('M_Part'!$H$5:$H$50,MATCH(H6,'M_Part'!$A$5:$A$50,0)))</f>
        <v/>
      </c>
      <c r="M6" s="21">
        <f>IF(K6="","",ROUND(K6*L6,3))</f>
        <v/>
      </c>
      <c r="N6" s="22" t="n">
        <v>1.5</v>
      </c>
      <c r="O6" s="23">
        <f>IF(F6="","",IFERROR(INDEX('Batch Balance'!$K$5:$K$100,MATCH(F6,'Batch Balance'!$A$5:$A$100,0)),0)-SUMIFS(M$4:M5,F$4:F5,F6)-SUMIFS(N$4:N5,F$4:F5,F6))</f>
        <v/>
      </c>
      <c r="P6" s="20" t="inlineStr">
        <is>
          <t>PER-021</t>
        </is>
      </c>
      <c r="Q6" s="18">
        <f>IF(D6="","",B6&amp;"|"&amp;C6&amp;"|"&amp;D6&amp;"|"&amp;F6&amp;"|"&amp;H6&amp;"|"&amp;K6)</f>
        <v/>
      </c>
      <c r="R6" s="24">
        <f>IF(D6="","",IF(AND(E6="CUTTING",F6=""),"CUTTING NEEDS A BATCH",IF(G6="NOT OPEN","BATCH NOT OPEN",IF(AND(E6="CUTTING",N(M6)+N(N6)&gt;N(O6)+MAX('Settings'!$B$10,'Settings'!$B$9*N(O6))),"OVER BATCH by "&amp;TEXT(N(M6)+N(N6)-N(O6),"0.0")&amp;" kg",IF(COUNTIF('Production Register'!$Q$5:$Q$400,Q6)&gt;0,"WARN: POSSIBLE DUPLICATE - same key posted","READY")))))</f>
        <v/>
      </c>
    </row>
    <row r="7">
      <c r="A7" s="18">
        <f>IF(D7="","","PRD-"&amp;'Settings'!$B$6&amp;"-"&amp;TEXT(COUNTA('Production Register'!$A$5:$A$400)+ROW()-4,"000000"))</f>
        <v/>
      </c>
      <c r="B7" s="19" t="n">
        <v>46490</v>
      </c>
      <c r="C7" s="20" t="inlineStr">
        <is>
          <t>B</t>
        </is>
      </c>
      <c r="D7" s="20" t="inlineStr">
        <is>
          <t>MC-05</t>
        </is>
      </c>
      <c r="E7" s="18">
        <f>IF(D7="","",INDEX('M_Machine'!$C$5:$C$50,MATCH(D7,'M_Machine'!$A$5:$A$50,0)))</f>
        <v/>
      </c>
      <c r="F7" s="20" t="inlineStr"/>
      <c r="G7" s="18">
        <f>IF(F7="","",IFERROR(INDEX('X_Batch'!$D$5:$D$400,MATCH(F7,'X_Batch'!$A$5:$A$400,0)),"NOT OPEN"))</f>
        <v/>
      </c>
      <c r="H7" s="20" t="inlineStr">
        <is>
          <t>A12-BP-01</t>
        </is>
      </c>
      <c r="I7" s="18">
        <f>IF(H7="","",INDEX('M_Part'!$B$5:$B$50,MATCH(H7,'M_Part'!$A$5:$A$50,0)))</f>
        <v/>
      </c>
      <c r="J7" s="18">
        <f>IF(H7="","",INDEX('M_Part'!$D$5:$D$50,MATCH(H7,'M_Part'!$A$5:$A$50,0))&amp;" / "&amp;INDEX('M_Part'!$E$5:$E$50,MATCH(H7,'M_Part'!$A$5:$A$50,0)))</f>
        <v/>
      </c>
      <c r="K7" s="20" t="n">
        <v>60</v>
      </c>
      <c r="L7" s="21">
        <f>IF(H7="","",INDEX('M_Part'!$H$5:$H$50,MATCH(H7,'M_Part'!$A$5:$A$50,0)))</f>
        <v/>
      </c>
      <c r="M7" s="21">
        <f>IF(K7="","",ROUND(K7*L7,3))</f>
        <v/>
      </c>
      <c r="N7" s="22" t="n">
        <v>0</v>
      </c>
      <c r="O7" s="23">
        <f>IF(F7="","",IFERROR(INDEX('Batch Balance'!$K$5:$K$100,MATCH(F7,'Batch Balance'!$A$5:$A$100,0)),0)-SUMIFS(M$4:M6,F$4:F6,F7)-SUMIFS(N$4:N6,F$4:F6,F7))</f>
        <v/>
      </c>
      <c r="P7" s="20" t="inlineStr">
        <is>
          <t>PER-030</t>
        </is>
      </c>
      <c r="Q7" s="18">
        <f>IF(D7="","",B7&amp;"|"&amp;C7&amp;"|"&amp;D7&amp;"|"&amp;F7&amp;"|"&amp;H7&amp;"|"&amp;K7)</f>
        <v/>
      </c>
      <c r="R7" s="24">
        <f>IF(D7="","",IF(AND(E7="CUTTING",F7=""),"CUTTING NEEDS A BATCH",IF(G7="NOT OPEN","BATCH NOT OPEN",IF(AND(E7="CUTTING",N(M7)+N(N7)&gt;N(O7)+MAX('Settings'!$B$10,'Settings'!$B$9*N(O7))),"OVER BATCH by "&amp;TEXT(N(M7)+N(N7)-N(O7),"0.0")&amp;" kg",IF(COUNTIF('Production Register'!$Q$5:$Q$400,Q7)&gt;0,"WARN: POSSIBLE DUPLICATE - same key posted","READY")))))</f>
        <v/>
      </c>
    </row>
    <row r="8">
      <c r="A8" s="18">
        <f>IF(D8="","","PRD-"&amp;'Settings'!$B$6&amp;"-"&amp;TEXT(COUNTA('Production Register'!$A$5:$A$400)+ROW()-4,"000000"))</f>
        <v/>
      </c>
      <c r="B8" s="19" t="n">
        <v>46492</v>
      </c>
      <c r="C8" s="20" t="inlineStr">
        <is>
          <t>A</t>
        </is>
      </c>
      <c r="D8" s="20" t="inlineStr">
        <is>
          <t>MC-03</t>
        </is>
      </c>
      <c r="E8" s="18">
        <f>IF(D8="","",INDEX('M_Machine'!$C$5:$C$50,MATCH(D8,'M_Machine'!$A$5:$A$50,0)))</f>
        <v/>
      </c>
      <c r="F8" s="20" t="inlineStr"/>
      <c r="G8" s="18">
        <f>IF(F8="","",IFERROR(INDEX('X_Batch'!$D$5:$D$400,MATCH(F8,'X_Batch'!$A$5:$A$400,0)),"NOT OPEN"))</f>
        <v/>
      </c>
      <c r="H8" s="20" t="inlineStr">
        <is>
          <t>B07-CB-02</t>
        </is>
      </c>
      <c r="I8" s="18">
        <f>IF(H8="","",INDEX('M_Part'!$B$5:$B$50,MATCH(H8,'M_Part'!$A$5:$A$50,0)))</f>
        <v/>
      </c>
      <c r="J8" s="18">
        <f>IF(H8="","",INDEX('M_Part'!$D$5:$D$50,MATCH(H8,'M_Part'!$A$5:$A$50,0))&amp;" / "&amp;INDEX('M_Part'!$E$5:$E$50,MATCH(H8,'M_Part'!$A$5:$A$50,0)))</f>
        <v/>
      </c>
      <c r="K8" s="20" t="n">
        <v>40</v>
      </c>
      <c r="L8" s="21">
        <f>IF(H8="","",INDEX('M_Part'!$H$5:$H$50,MATCH(H8,'M_Part'!$A$5:$A$50,0)))</f>
        <v/>
      </c>
      <c r="M8" s="21">
        <f>IF(K8="","",ROUND(K8*L8,3))</f>
        <v/>
      </c>
      <c r="N8" s="22" t="n">
        <v>2</v>
      </c>
      <c r="O8" s="23">
        <f>IF(F8="","",IFERROR(INDEX('Batch Balance'!$K$5:$K$100,MATCH(F8,'Batch Balance'!$A$5:$A$100,0)),0)-SUMIFS(M$4:M7,F$4:F7,F8)-SUMIFS(N$4:N7,F$4:F7,F8))</f>
        <v/>
      </c>
      <c r="P8" s="20" t="inlineStr">
        <is>
          <t>PER-011</t>
        </is>
      </c>
      <c r="Q8" s="18">
        <f>IF(D8="","",B8&amp;"|"&amp;C8&amp;"|"&amp;D8&amp;"|"&amp;F8&amp;"|"&amp;H8&amp;"|"&amp;K8)</f>
        <v/>
      </c>
      <c r="R8" s="24">
        <f>IF(D8="","",IF(AND(E8="CUTTING",F8=""),"CUTTING NEEDS A BATCH",IF(G8="NOT OPEN","BATCH NOT OPEN",IF(AND(E8="CUTTING",N(M8)+N(N8)&gt;N(O8)+MAX('Settings'!$B$10,'Settings'!$B$9*N(O8))),"OVER BATCH by "&amp;TEXT(N(M8)+N(N8)-N(O8),"0.0")&amp;" kg",IF(COUNTIF('Production Register'!$Q$5:$Q$400,Q8)&gt;0,"WARN: POSSIBLE DUPLICATE - same key posted","READY")))))</f>
        <v/>
      </c>
    </row>
    <row r="9">
      <c r="A9" s="18">
        <f>IF(D9="","","PRD-"&amp;'Settings'!$B$6&amp;"-"&amp;TEXT(COUNTA('Production Register'!$A$5:$A$400)+ROW()-4,"000000"))</f>
        <v/>
      </c>
      <c r="B9" s="19" t="n">
        <v>46492</v>
      </c>
      <c r="C9" s="20" t="inlineStr">
        <is>
          <t>B</t>
        </is>
      </c>
      <c r="D9" s="20" t="inlineStr">
        <is>
          <t>MC-07</t>
        </is>
      </c>
      <c r="E9" s="18">
        <f>IF(D9="","",INDEX('M_Machine'!$C$5:$C$50,MATCH(D9,'M_Machine'!$A$5:$A$50,0)))</f>
        <v/>
      </c>
      <c r="F9" s="20" t="inlineStr"/>
      <c r="G9" s="18">
        <f>IF(F9="","",IFERROR(INDEX('X_Batch'!$D$5:$D$400,MATCH(F9,'X_Batch'!$A$5:$A$400,0)),"NOT OPEN"))</f>
        <v/>
      </c>
      <c r="H9" s="20" t="inlineStr">
        <is>
          <t>B07-CB-02</t>
        </is>
      </c>
      <c r="I9" s="18">
        <f>IF(H9="","",INDEX('M_Part'!$B$5:$B$50,MATCH(H9,'M_Part'!$A$5:$A$50,0)))</f>
        <v/>
      </c>
      <c r="J9" s="18">
        <f>IF(H9="","",INDEX('M_Part'!$D$5:$D$50,MATCH(H9,'M_Part'!$A$5:$A$50,0))&amp;" / "&amp;INDEX('M_Part'!$E$5:$E$50,MATCH(H9,'M_Part'!$A$5:$A$50,0)))</f>
        <v/>
      </c>
      <c r="K9" s="20" t="n">
        <v>100</v>
      </c>
      <c r="L9" s="21">
        <f>IF(H9="","",INDEX('M_Part'!$H$5:$H$50,MATCH(H9,'M_Part'!$A$5:$A$50,0)))</f>
        <v/>
      </c>
      <c r="M9" s="21">
        <f>IF(K9="","",ROUND(K9*L9,3))</f>
        <v/>
      </c>
      <c r="N9" s="22" t="n">
        <v>0</v>
      </c>
      <c r="O9" s="23">
        <f>IF(F9="","",IFERROR(INDEX('Batch Balance'!$K$5:$K$100,MATCH(F9,'Batch Balance'!$A$5:$A$100,0)),0)-SUMIFS(M$4:M8,F$4:F8,F9)-SUMIFS(N$4:N8,F$4:F8,F9))</f>
        <v/>
      </c>
      <c r="P9" s="20" t="inlineStr">
        <is>
          <t>PER-030</t>
        </is>
      </c>
      <c r="Q9" s="18">
        <f>IF(D9="","",B9&amp;"|"&amp;C9&amp;"|"&amp;D9&amp;"|"&amp;F9&amp;"|"&amp;H9&amp;"|"&amp;K9)</f>
        <v/>
      </c>
      <c r="R9" s="24">
        <f>IF(D9="","",IF(AND(E9="CUTTING",F9=""),"CUTTING NEEDS A BATCH",IF(G9="NOT OPEN","BATCH NOT OPEN",IF(AND(E9="CUTTING",N(M9)+N(N9)&gt;N(O9)+MAX('Settings'!$B$10,'Settings'!$B$9*N(O9))),"OVER BATCH by "&amp;TEXT(N(M9)+N(N9)-N(O9),"0.0")&amp;" kg",IF(COUNTIF('Production Register'!$Q$5:$Q$400,Q9)&gt;0,"WARN: POSSIBLE DUPLICATE - same key posted","READY")))))</f>
        <v/>
      </c>
    </row>
  </sheetData>
  <conditionalFormatting sqref="R5:R9">
    <cfRule type="expression" priority="1" dxfId="0" stopIfTrue="1">
      <formula>OR(LEFT(R5,5)="READY",R5="OK",LEFT(R5,6)="CLOSED")</formula>
    </cfRule>
    <cfRule type="expression" priority="2" dxfId="1" stopIfTrue="1">
      <formula>OR(LEFT(R5,4)="WARN",LEFT(R5,2)="IN",LEFT(R5,3)="NOT",LEFT(R5,7)="REORDER",LEFT(R5,5)="STALE",LEFT(R5,4)="PART",LEFT(R5,7)="PENDING",LEFT(R5,5)="READY")</formula>
    </cfRule>
    <cfRule type="expression" priority="3" dxfId="2">
      <formula>LEN(R5)&gt;0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4" customWidth="1" min="4" max="4"/>
    <col width="15" customWidth="1" min="5" max="5"/>
    <col width="10" customWidth="1" min="6" max="6"/>
    <col width="7" customWidth="1" min="7" max="7"/>
    <col width="8" customWidth="1" min="8" max="8"/>
    <col width="5" customWidth="1" min="9" max="9"/>
    <col width="9" customWidth="1" min="10" max="10"/>
    <col width="10" customWidth="1" min="11" max="11"/>
    <col width="34" customWidth="1" min="12" max="12"/>
  </cols>
  <sheetData>
    <row r="1">
      <c r="A1" s="15" t="inlineStr">
        <is>
          <t>REJECTION &amp; REWORK PAD</t>
        </is>
      </c>
    </row>
    <row r="2">
      <c r="A2" s="16" t="inlineStr">
        <is>
          <t>Quote the production line the parts came from. Rejected qty cannot exceed what that line made minus earlier rejections.</t>
        </is>
      </c>
    </row>
    <row r="4" ht="30" customHeight="1">
      <c r="A4" s="17" t="inlineStr">
        <is>
          <t>Event ID</t>
        </is>
      </c>
      <c r="B4" s="17" t="inlineStr">
        <is>
          <t>Event Date</t>
        </is>
      </c>
      <c r="C4" s="17" t="inlineStr">
        <is>
          <t>Event Type</t>
        </is>
      </c>
      <c r="D4" s="17" t="inlineStr">
        <is>
          <t>Case ID</t>
        </is>
      </c>
      <c r="E4" s="17" t="inlineStr">
        <is>
          <t>Source Prod ID</t>
        </is>
      </c>
      <c r="F4" s="17" t="inlineStr">
        <is>
          <t>Part ID</t>
        </is>
      </c>
      <c r="G4" s="17" t="inlineStr">
        <is>
          <t>Made Qty</t>
        </is>
      </c>
      <c r="H4" s="17" t="inlineStr">
        <is>
          <t>Already Rejected</t>
        </is>
      </c>
      <c r="I4" s="17" t="inlineStr">
        <is>
          <t>Qty</t>
        </is>
      </c>
      <c r="J4" s="17" t="inlineStr">
        <is>
          <t>Reason Code</t>
        </is>
      </c>
      <c r="K4" s="17" t="inlineStr">
        <is>
          <t>Disposition</t>
        </is>
      </c>
      <c r="L4" s="17" t="inlineStr">
        <is>
          <t>Ready / issues</t>
        </is>
      </c>
    </row>
    <row r="5">
      <c r="A5" s="18">
        <f>IF(C5="","",IF(C5="REJECT","REJ","RWK")&amp;"-"&amp;'Settings'!$B$6&amp;"-"&amp;TEXT(COUNTA('Rej-Rework Register'!$A$5:$A$400)+ROW()-4,"00000"))</f>
        <v/>
      </c>
      <c r="B5" s="19" t="n">
        <v>46492</v>
      </c>
      <c r="C5" s="20" t="inlineStr">
        <is>
          <t>REJECT</t>
        </is>
      </c>
      <c r="D5" s="20" t="inlineStr"/>
      <c r="E5" s="20" t="inlineStr">
        <is>
          <t>PRD-2728-000002</t>
        </is>
      </c>
      <c r="F5" s="18">
        <f>IF(E5="","",IFERROR(INDEX('Production Register'!$I$5:$I$400,MATCH(E5,'Production Register'!$A$5:$A$400,0)),"NOT FOUND"))</f>
        <v/>
      </c>
      <c r="G5" s="25">
        <f>IF(E5="","",IFERROR(INDEX('Production Register'!$K$5:$K$400,MATCH(E5,'Production Register'!$A$5:$A$400,0)),0))</f>
        <v/>
      </c>
      <c r="H5" s="25">
        <f>IF(E5="","",SUMIFS('Rej-Rework Register'!$H$5:$H$400,'Rej-Rework Register'!$E$5:$E$400,E5,'Rej-Rework Register'!$C$5:$C$400,"REJECT"))</f>
        <v/>
      </c>
      <c r="I5" s="20" t="n">
        <v>6</v>
      </c>
      <c r="J5" s="20" t="inlineStr">
        <is>
          <t>CUT-MAT</t>
        </is>
      </c>
      <c r="K5" s="20" t="inlineStr">
        <is>
          <t>SCRAP</t>
        </is>
      </c>
      <c r="L5" s="24">
        <f>IF(C5="","",IF(F5="NOT FOUND","SOURCE PROD ID NOT FOUND",IF(AND(C5="REJECT",I5&gt;G5-H5),"MORE THAN MADE: max "&amp;(G5-H5),IF(AND(C5="REJECT",J5=""),"REASON REQUIRED","READY"))))</f>
        <v/>
      </c>
    </row>
    <row r="6">
      <c r="A6" s="18">
        <f>IF(C6="","",IF(C6="REJECT","REJ","RWK")&amp;"-"&amp;'Settings'!$B$6&amp;"-"&amp;TEXT(COUNTA('Rej-Rework Register'!$A$5:$A$400)+ROW()-4,"00000"))</f>
        <v/>
      </c>
      <c r="B6" s="19" t="n">
        <v>46492</v>
      </c>
      <c r="C6" s="20" t="inlineStr">
        <is>
          <t>REJECT</t>
        </is>
      </c>
      <c r="D6" s="20" t="inlineStr"/>
      <c r="E6" s="20" t="inlineStr">
        <is>
          <t>PRD-2728-000005</t>
        </is>
      </c>
      <c r="F6" s="18">
        <f>IF(E6="","",IFERROR(INDEX('Production Register'!$I$5:$I$400,MATCH(E6,'Production Register'!$A$5:$A$400,0)),"NOT FOUND"))</f>
        <v/>
      </c>
      <c r="G6" s="25">
        <f>IF(E6="","",IFERROR(INDEX('Production Register'!$K$5:$K$400,MATCH(E6,'Production Register'!$A$5:$A$400,0)),0))</f>
        <v/>
      </c>
      <c r="H6" s="25">
        <f>IF(E6="","",SUMIFS('Rej-Rework Register'!$H$5:$H$400,'Rej-Rework Register'!$E$5:$E$400,E6,'Rej-Rework Register'!$C$5:$C$400,"REJECT"))</f>
        <v/>
      </c>
      <c r="I6" s="20" t="n">
        <v>20</v>
      </c>
      <c r="J6" s="20" t="inlineStr">
        <is>
          <t>CUT-MAT</t>
        </is>
      </c>
      <c r="K6" s="20" t="inlineStr">
        <is>
          <t>REWORK</t>
        </is>
      </c>
      <c r="L6" s="24">
        <f>IF(C6="","",IF(F6="NOT FOUND","SOURCE PROD ID NOT FOUND",IF(AND(C6="REJECT",I6&gt;G6-H6),"MORE THAN MADE: max "&amp;(G6-H6),IF(AND(C6="REJECT",J6=""),"REASON REQUIRED","READY"))))</f>
        <v/>
      </c>
    </row>
    <row r="7">
      <c r="A7" s="18">
        <f>IF(C7="","",IF(C7="REJECT","REJ","RWK")&amp;"-"&amp;'Settings'!$B$6&amp;"-"&amp;TEXT(COUNTA('Rej-Rework Register'!$A$5:$A$400)+ROW()-4,"00000"))</f>
        <v/>
      </c>
      <c r="B7" s="19" t="n">
        <v>46492</v>
      </c>
      <c r="C7" s="20" t="inlineStr">
        <is>
          <t>REJECT</t>
        </is>
      </c>
      <c r="D7" s="20" t="inlineStr"/>
      <c r="E7" s="20" t="inlineStr">
        <is>
          <t>PRD-2728-000099</t>
        </is>
      </c>
      <c r="F7" s="18">
        <f>IF(E7="","",IFERROR(INDEX('Production Register'!$I$5:$I$400,MATCH(E7,'Production Register'!$A$5:$A$400,0)),"NOT FOUND"))</f>
        <v/>
      </c>
      <c r="G7" s="25">
        <f>IF(E7="","",IFERROR(INDEX('Production Register'!$K$5:$K$400,MATCH(E7,'Production Register'!$A$5:$A$400,0)),0))</f>
        <v/>
      </c>
      <c r="H7" s="25">
        <f>IF(E7="","",SUMIFS('Rej-Rework Register'!$H$5:$H$400,'Rej-Rework Register'!$E$5:$E$400,E7,'Rej-Rework Register'!$C$5:$C$400,"REJECT"))</f>
        <v/>
      </c>
      <c r="I7" s="20" t="n">
        <v>2</v>
      </c>
      <c r="J7" s="20" t="inlineStr">
        <is>
          <t>BND-DIM</t>
        </is>
      </c>
      <c r="K7" s="20" t="inlineStr">
        <is>
          <t>REWORK</t>
        </is>
      </c>
      <c r="L7" s="24">
        <f>IF(C7="","",IF(F7="NOT FOUND","SOURCE PROD ID NOT FOUND",IF(AND(C7="REJECT",I7&gt;G7-H7),"MORE THAN MADE: max "&amp;(G7-H7),IF(AND(C7="REJECT",J7=""),"REASON REQUIRED","READY"))))</f>
        <v/>
      </c>
    </row>
  </sheetData>
  <conditionalFormatting sqref="L5:L7">
    <cfRule type="expression" priority="1" dxfId="0" stopIfTrue="1">
      <formula>OR(LEFT(L5,5)="READY",L5="OK",LEFT(L5,6)="CLOSED")</formula>
    </cfRule>
    <cfRule type="expression" priority="2" dxfId="1" stopIfTrue="1">
      <formula>OR(LEFT(L5,4)="WARN",LEFT(L5,2)="IN",LEFT(L5,3)="NOT",LEFT(L5,7)="REORDER",LEFT(L5,5)="STALE",LEFT(L5,4)="PART",LEFT(L5,7)="PENDING",LEFT(L5,5)="READY")</formula>
    </cfRule>
    <cfRule type="expression" priority="3" dxfId="2">
      <formula>LEN(L5)&gt;0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5" customWidth="1" min="3" max="3"/>
    <col width="8" customWidth="1" min="4" max="4"/>
    <col width="11" customWidth="1" min="5" max="5"/>
    <col width="15" customWidth="1" min="6" max="6"/>
    <col width="12" customWidth="1" min="7" max="7"/>
    <col width="8" customWidth="1" min="8" max="8"/>
    <col width="10" customWidth="1" min="9" max="9"/>
    <col width="10" customWidth="1" min="10" max="10"/>
    <col width="5" customWidth="1" min="11" max="11"/>
    <col width="7" customWidth="1" min="12" max="12"/>
    <col width="9" customWidth="1" min="13" max="13"/>
    <col width="7" customWidth="1" min="14" max="14"/>
    <col width="8" customWidth="1" min="15" max="15"/>
    <col width="5" customWidth="1" min="16" max="16"/>
    <col width="30" customWidth="1" min="17" max="17"/>
    <col width="12" customWidth="1" min="18" max="18"/>
  </cols>
  <sheetData>
    <row r="1">
      <c r="A1" s="15" t="inlineStr">
        <is>
          <t>PRODUCTION REGISTER - values only</t>
        </is>
      </c>
    </row>
    <row r="2">
      <c r="A2" s="16" t="inlineStr">
        <is>
          <t>Posted lines never recalculate. Wt/pc, drawing revision and lot are frozen at posting.</t>
        </is>
      </c>
    </row>
    <row r="4" ht="30" customHeight="1">
      <c r="A4" s="17" t="inlineStr">
        <is>
          <t>Prod ID</t>
        </is>
      </c>
      <c r="B4" s="17" t="inlineStr">
        <is>
          <t>Prod Date</t>
        </is>
      </c>
      <c r="C4" s="17" t="inlineStr">
        <is>
          <t>Shift</t>
        </is>
      </c>
      <c r="D4" s="17" t="inlineStr">
        <is>
          <t>Machine ID</t>
        </is>
      </c>
      <c r="E4" s="17" t="inlineStr">
        <is>
          <t>Stage</t>
        </is>
      </c>
      <c r="F4" s="17" t="inlineStr">
        <is>
          <t>Batch ID</t>
        </is>
      </c>
      <c r="G4" s="17" t="inlineStr">
        <is>
          <t>Lot ID</t>
        </is>
      </c>
      <c r="H4" s="17" t="inlineStr">
        <is>
          <t>Product ID</t>
        </is>
      </c>
      <c r="I4" s="17" t="inlineStr">
        <is>
          <t>Part ID</t>
        </is>
      </c>
      <c r="J4" s="17" t="inlineStr">
        <is>
          <t>Drawing / Rev</t>
        </is>
      </c>
      <c r="K4" s="17" t="inlineStr">
        <is>
          <t>Qty</t>
        </is>
      </c>
      <c r="L4" s="17" t="inlineStr">
        <is>
          <t>Wt/pc kg</t>
        </is>
      </c>
      <c r="M4" s="17" t="inlineStr">
        <is>
          <t>Output kg</t>
        </is>
      </c>
      <c r="N4" s="17" t="inlineStr">
        <is>
          <t>Scrap kg</t>
        </is>
      </c>
      <c r="O4" s="17" t="inlineStr">
        <is>
          <t>Operator</t>
        </is>
      </c>
      <c r="P4" s="17" t="inlineStr">
        <is>
          <t>QC</t>
        </is>
      </c>
      <c r="Q4" s="17" t="inlineStr">
        <is>
          <t>Dup Key</t>
        </is>
      </c>
      <c r="R4" s="17" t="inlineStr">
        <is>
          <t>Posted At</t>
        </is>
      </c>
    </row>
    <row r="5">
      <c r="A5" s="18" t="inlineStr">
        <is>
          <t>PRD-2728-000001</t>
        </is>
      </c>
      <c r="B5" s="26" t="n">
        <v>46489</v>
      </c>
      <c r="C5" s="18" t="inlineStr">
        <is>
          <t>A</t>
        </is>
      </c>
      <c r="D5" s="18" t="inlineStr">
        <is>
          <t>MC-01</t>
        </is>
      </c>
      <c r="E5" s="18" t="inlineStr">
        <is>
          <t>CUTTING</t>
        </is>
      </c>
      <c r="F5" s="18" t="inlineStr">
        <is>
          <t>ISS-2728-000001</t>
        </is>
      </c>
      <c r="G5" s="18" t="inlineStr">
        <is>
          <t>GP-2728-0001</t>
        </is>
      </c>
      <c r="H5" s="18" t="inlineStr">
        <is>
          <t>PRD-A12</t>
        </is>
      </c>
      <c r="I5" s="18" t="inlineStr">
        <is>
          <t>A12-BP-01</t>
        </is>
      </c>
      <c r="J5" s="18" t="inlineStr">
        <is>
          <t>DRG-1102 / C</t>
        </is>
      </c>
      <c r="K5" s="18" t="n">
        <v>60</v>
      </c>
      <c r="L5" s="21" t="n">
        <v>6.215</v>
      </c>
      <c r="M5" s="21" t="n">
        <v>372.9</v>
      </c>
      <c r="N5" s="21" t="n">
        <v>24.3</v>
      </c>
      <c r="O5" s="18" t="inlineStr">
        <is>
          <t>PER-021</t>
        </is>
      </c>
      <c r="P5" s="18" t="inlineStr">
        <is>
          <t>OK</t>
        </is>
      </c>
      <c r="Q5" s="18" t="inlineStr">
        <is>
          <t>46489|A|MC-01|ISS-2728-000001|A12-BP-01|60</t>
        </is>
      </c>
      <c r="R5" s="27" t="n">
        <v>46489.75</v>
      </c>
    </row>
    <row r="6">
      <c r="A6" s="18" t="inlineStr">
        <is>
          <t>PRD-2728-000002</t>
        </is>
      </c>
      <c r="B6" s="26" t="n">
        <v>46489</v>
      </c>
      <c r="C6" s="18" t="inlineStr">
        <is>
          <t>A</t>
        </is>
      </c>
      <c r="D6" s="18" t="inlineStr">
        <is>
          <t>MC-03</t>
        </is>
      </c>
      <c r="E6" s="18" t="inlineStr">
        <is>
          <t>CUTTING</t>
        </is>
      </c>
      <c r="F6" s="18" t="inlineStr">
        <is>
          <t>ISS-2728-000002</t>
        </is>
      </c>
      <c r="G6" s="18" t="inlineStr">
        <is>
          <t>GP-2728-0002</t>
        </is>
      </c>
      <c r="H6" s="18" t="inlineStr">
        <is>
          <t>PRD-B07</t>
        </is>
      </c>
      <c r="I6" s="18" t="inlineStr">
        <is>
          <t>B07-CB-02</t>
        </is>
      </c>
      <c r="J6" s="18" t="inlineStr">
        <is>
          <t>DRG-2210 / B</t>
        </is>
      </c>
      <c r="K6" s="18" t="n">
        <v>300</v>
      </c>
      <c r="L6" s="21" t="n">
        <v>1.15</v>
      </c>
      <c r="M6" s="21" t="n">
        <v>345</v>
      </c>
      <c r="N6" s="21" t="n">
        <v>30</v>
      </c>
      <c r="O6" s="18" t="inlineStr">
        <is>
          <t>PER-011</t>
        </is>
      </c>
      <c r="P6" s="18" t="inlineStr">
        <is>
          <t>OK</t>
        </is>
      </c>
      <c r="Q6" s="18" t="inlineStr">
        <is>
          <t>46489|A|MC-03|ISS-2728-000002|B07-CB-02|300</t>
        </is>
      </c>
      <c r="R6" s="27" t="n">
        <v>46489.75</v>
      </c>
    </row>
    <row r="7">
      <c r="A7" s="18" t="inlineStr">
        <is>
          <t>PRD-2728-000003</t>
        </is>
      </c>
      <c r="B7" s="26" t="n">
        <v>46490</v>
      </c>
      <c r="C7" s="18" t="inlineStr">
        <is>
          <t>B</t>
        </is>
      </c>
      <c r="D7" s="18" t="inlineStr">
        <is>
          <t>MC-05</t>
        </is>
      </c>
      <c r="E7" s="18" t="inlineStr">
        <is>
          <t>BENDING</t>
        </is>
      </c>
      <c r="F7" s="18" t="inlineStr"/>
      <c r="G7" s="18" t="inlineStr"/>
      <c r="H7" s="18" t="inlineStr">
        <is>
          <t>PRD-A12</t>
        </is>
      </c>
      <c r="I7" s="18" t="inlineStr">
        <is>
          <t>A12-BP-01</t>
        </is>
      </c>
      <c r="J7" s="18" t="inlineStr">
        <is>
          <t>DRG-1102 / C</t>
        </is>
      </c>
      <c r="K7" s="18" t="n">
        <v>60</v>
      </c>
      <c r="L7" s="21" t="n">
        <v>6.215</v>
      </c>
      <c r="M7" s="21" t="n">
        <v>372.9</v>
      </c>
      <c r="N7" s="21" t="n">
        <v>0</v>
      </c>
      <c r="O7" s="18" t="inlineStr">
        <is>
          <t>PER-030</t>
        </is>
      </c>
      <c r="P7" s="18" t="inlineStr">
        <is>
          <t>OK</t>
        </is>
      </c>
      <c r="Q7" s="18" t="inlineStr">
        <is>
          <t>46490|B|MC-05||A12-BP-01|60</t>
        </is>
      </c>
      <c r="R7" s="27" t="n">
        <v>46490.75</v>
      </c>
    </row>
    <row r="8">
      <c r="A8" s="18" t="inlineStr">
        <is>
          <t>PRD-2728-000004</t>
        </is>
      </c>
      <c r="B8" s="26" t="n">
        <v>46491</v>
      </c>
      <c r="C8" s="18" t="inlineStr">
        <is>
          <t>A</t>
        </is>
      </c>
      <c r="D8" s="18" t="inlineStr">
        <is>
          <t>MC-07</t>
        </is>
      </c>
      <c r="E8" s="18" t="inlineStr">
        <is>
          <t>FABRICATION</t>
        </is>
      </c>
      <c r="F8" s="18" t="inlineStr"/>
      <c r="G8" s="18" t="inlineStr"/>
      <c r="H8" s="18" t="inlineStr">
        <is>
          <t>PRD-A12</t>
        </is>
      </c>
      <c r="I8" s="18" t="inlineStr">
        <is>
          <t>A12-BP-01</t>
        </is>
      </c>
      <c r="J8" s="18" t="inlineStr">
        <is>
          <t>DRG-1102 / C</t>
        </is>
      </c>
      <c r="K8" s="18" t="n">
        <v>50</v>
      </c>
      <c r="L8" s="21" t="n">
        <v>6.215</v>
      </c>
      <c r="M8" s="21" t="n">
        <v>310.75</v>
      </c>
      <c r="N8" s="21" t="n">
        <v>0</v>
      </c>
      <c r="O8" s="18" t="inlineStr">
        <is>
          <t>PER-030</t>
        </is>
      </c>
      <c r="P8" s="18" t="inlineStr">
        <is>
          <t>OK</t>
        </is>
      </c>
      <c r="Q8" s="18" t="inlineStr">
        <is>
          <t>46491|A|MC-07||A12-BP-01|50</t>
        </is>
      </c>
      <c r="R8" s="27" t="n">
        <v>46491.75</v>
      </c>
    </row>
    <row r="9">
      <c r="A9" s="18" t="inlineStr">
        <is>
          <t>PRD-2728-000005</t>
        </is>
      </c>
      <c r="B9" s="26" t="n">
        <v>46490</v>
      </c>
      <c r="C9" s="18" t="inlineStr">
        <is>
          <t>A</t>
        </is>
      </c>
      <c r="D9" s="18" t="inlineStr">
        <is>
          <t>MC-02</t>
        </is>
      </c>
      <c r="E9" s="18" t="inlineStr">
        <is>
          <t>CUTTING</t>
        </is>
      </c>
      <c r="F9" s="18" t="inlineStr">
        <is>
          <t>ISS-2728-000004</t>
        </is>
      </c>
      <c r="G9" s="18" t="inlineStr">
        <is>
          <t>HR-2728-0001</t>
        </is>
      </c>
      <c r="H9" s="18" t="inlineStr">
        <is>
          <t>PRD-C03</t>
        </is>
      </c>
      <c r="I9" s="18" t="inlineStr">
        <is>
          <t>C03-FR-01</t>
        </is>
      </c>
      <c r="J9" s="18" t="inlineStr">
        <is>
          <t>DRG-3301 / A</t>
        </is>
      </c>
      <c r="K9" s="18" t="n">
        <v>15</v>
      </c>
      <c r="L9" s="21" t="n">
        <v>12.4</v>
      </c>
      <c r="M9" s="21" t="n">
        <v>186</v>
      </c>
      <c r="N9" s="21" t="n">
        <v>20.1</v>
      </c>
      <c r="O9" s="18" t="inlineStr">
        <is>
          <t>PER-003</t>
        </is>
      </c>
      <c r="P9" s="18" t="inlineStr">
        <is>
          <t>OK</t>
        </is>
      </c>
      <c r="Q9" s="18" t="inlineStr">
        <is>
          <t>46490|A|MC-02|ISS-2728-000004|C03-FR-01|15</t>
        </is>
      </c>
      <c r="R9" s="27" t="n">
        <v>46490.75</v>
      </c>
    </row>
    <row r="10">
      <c r="A10" s="18" t="inlineStr">
        <is>
          <t>PRD-2728-000006</t>
        </is>
      </c>
      <c r="B10" s="26" t="n">
        <v>46491</v>
      </c>
      <c r="C10" s="18" t="inlineStr">
        <is>
          <t>B</t>
        </is>
      </c>
      <c r="D10" s="18" t="inlineStr">
        <is>
          <t>MC-05</t>
        </is>
      </c>
      <c r="E10" s="18" t="inlineStr">
        <is>
          <t>BENDING</t>
        </is>
      </c>
      <c r="F10" s="18" t="inlineStr"/>
      <c r="G10" s="18" t="inlineStr"/>
      <c r="H10" s="18" t="inlineStr">
        <is>
          <t>PRD-B07</t>
        </is>
      </c>
      <c r="I10" s="18" t="inlineStr">
        <is>
          <t>B07-CB-02</t>
        </is>
      </c>
      <c r="J10" s="18" t="inlineStr">
        <is>
          <t>DRG-2210 / B</t>
        </is>
      </c>
      <c r="K10" s="18" t="n">
        <v>280</v>
      </c>
      <c r="L10" s="21" t="n">
        <v>1.15</v>
      </c>
      <c r="M10" s="21" t="n">
        <v>322</v>
      </c>
      <c r="N10" s="21" t="n">
        <v>0</v>
      </c>
      <c r="O10" s="18" t="inlineStr">
        <is>
          <t>PER-030</t>
        </is>
      </c>
      <c r="P10" s="18" t="inlineStr">
        <is>
          <t>OK</t>
        </is>
      </c>
      <c r="Q10" s="18" t="inlineStr">
        <is>
          <t>46491|B|MC-05||B07-CB-02|280</t>
        </is>
      </c>
      <c r="R10" s="27" t="n">
        <v>46491.75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4" customWidth="1" min="4" max="4"/>
    <col width="15" customWidth="1" min="5" max="5"/>
    <col width="10" customWidth="1" min="6" max="6"/>
    <col width="10" customWidth="1" min="7" max="7"/>
    <col width="5" customWidth="1" min="8" max="8"/>
    <col width="7" customWidth="1" min="9" max="9"/>
    <col width="9" customWidth="1" min="10" max="10"/>
    <col width="10" customWidth="1" min="11" max="11"/>
    <col width="10" customWidth="1" min="12" max="12"/>
    <col width="12" customWidth="1" min="13" max="13"/>
  </cols>
  <sheetData>
    <row r="1">
      <c r="A1" s="15" t="inlineStr">
        <is>
          <t>REJECTION &amp; REWORK REGISTER - event lines</t>
        </is>
      </c>
    </row>
    <row r="2">
      <c r="A2" s="16" t="inlineStr">
        <is>
          <t>REJECT opens a case on the source Prod ID; REWORK-OK returns qty to WIP; REWORK-SCRAP closes it as scrap.</t>
        </is>
      </c>
    </row>
    <row r="4" ht="30" customHeight="1">
      <c r="A4" s="17" t="inlineStr">
        <is>
          <t>Event ID</t>
        </is>
      </c>
      <c r="B4" s="17" t="inlineStr">
        <is>
          <t>Event Date</t>
        </is>
      </c>
      <c r="C4" s="17" t="inlineStr">
        <is>
          <t>Event Type</t>
        </is>
      </c>
      <c r="D4" s="17" t="inlineStr">
        <is>
          <t>Case ID</t>
        </is>
      </c>
      <c r="E4" s="17" t="inlineStr">
        <is>
          <t>Source Prod ID</t>
        </is>
      </c>
      <c r="F4" s="17" t="inlineStr">
        <is>
          <t>Stage</t>
        </is>
      </c>
      <c r="G4" s="17" t="inlineStr">
        <is>
          <t>Part ID</t>
        </is>
      </c>
      <c r="H4" s="17" t="inlineStr">
        <is>
          <t>Qty</t>
        </is>
      </c>
      <c r="I4" s="17" t="inlineStr">
        <is>
          <t>kg</t>
        </is>
      </c>
      <c r="J4" s="17" t="inlineStr">
        <is>
          <t>Reason Code</t>
        </is>
      </c>
      <c r="K4" s="17" t="inlineStr">
        <is>
          <t>Responsibility</t>
        </is>
      </c>
      <c r="L4" s="17" t="inlineStr">
        <is>
          <t>Disposition</t>
        </is>
      </c>
      <c r="M4" s="17" t="inlineStr">
        <is>
          <t>Posted At</t>
        </is>
      </c>
    </row>
    <row r="5">
      <c r="A5" s="18" t="inlineStr">
        <is>
          <t>REJ-2728-00001</t>
        </is>
      </c>
      <c r="B5" s="26" t="n">
        <v>46490</v>
      </c>
      <c r="C5" s="18" t="inlineStr">
        <is>
          <t>REJECT</t>
        </is>
      </c>
      <c r="D5" s="18" t="inlineStr">
        <is>
          <t>REJ-2728-00001</t>
        </is>
      </c>
      <c r="E5" s="18" t="inlineStr">
        <is>
          <t>PRD-2728-000003</t>
        </is>
      </c>
      <c r="F5" s="18" t="inlineStr">
        <is>
          <t>BENDING</t>
        </is>
      </c>
      <c r="G5" s="18" t="inlineStr">
        <is>
          <t>A12-BP-01</t>
        </is>
      </c>
      <c r="H5" s="18" t="n">
        <v>4</v>
      </c>
      <c r="I5" s="21" t="n">
        <v>24.86</v>
      </c>
      <c r="J5" s="18" t="inlineStr">
        <is>
          <t>BND-DIM</t>
        </is>
      </c>
      <c r="K5" s="18" t="inlineStr">
        <is>
          <t>IN-HOUSE</t>
        </is>
      </c>
      <c r="L5" s="18" t="inlineStr">
        <is>
          <t>REWORK</t>
        </is>
      </c>
      <c r="M5" s="27" t="n">
        <v>46490.77083333334</v>
      </c>
    </row>
    <row r="6">
      <c r="A6" s="18" t="inlineStr">
        <is>
          <t>RWK-2728-00002</t>
        </is>
      </c>
      <c r="B6" s="26" t="n">
        <v>46491</v>
      </c>
      <c r="C6" s="18" t="inlineStr">
        <is>
          <t>REWORK-OK</t>
        </is>
      </c>
      <c r="D6" s="18" t="inlineStr">
        <is>
          <t>REJ-2728-00001</t>
        </is>
      </c>
      <c r="E6" s="18" t="inlineStr">
        <is>
          <t>PRD-2728-000003</t>
        </is>
      </c>
      <c r="F6" s="18" t="inlineStr">
        <is>
          <t>BENDING</t>
        </is>
      </c>
      <c r="G6" s="18" t="inlineStr">
        <is>
          <t>A12-BP-01</t>
        </is>
      </c>
      <c r="H6" s="18" t="n">
        <v>3</v>
      </c>
      <c r="I6" s="21" t="n">
        <v>18.645</v>
      </c>
      <c r="J6" s="18" t="inlineStr"/>
      <c r="K6" s="18" t="inlineStr"/>
      <c r="L6" s="18" t="inlineStr"/>
      <c r="M6" s="27" t="n">
        <v>46491.70833333334</v>
      </c>
    </row>
    <row r="7">
      <c r="A7" s="18" t="inlineStr">
        <is>
          <t>RWK-2728-00003</t>
        </is>
      </c>
      <c r="B7" s="26" t="n">
        <v>46491</v>
      </c>
      <c r="C7" s="18" t="inlineStr">
        <is>
          <t>REWORK-SCRAP</t>
        </is>
      </c>
      <c r="D7" s="18" t="inlineStr">
        <is>
          <t>REJ-2728-00001</t>
        </is>
      </c>
      <c r="E7" s="18" t="inlineStr">
        <is>
          <t>PRD-2728-000003</t>
        </is>
      </c>
      <c r="F7" s="18" t="inlineStr">
        <is>
          <t>BENDING</t>
        </is>
      </c>
      <c r="G7" s="18" t="inlineStr">
        <is>
          <t>A12-BP-01</t>
        </is>
      </c>
      <c r="H7" s="18" t="n">
        <v>1</v>
      </c>
      <c r="I7" s="21" t="n">
        <v>6.215</v>
      </c>
      <c r="J7" s="18" t="inlineStr"/>
      <c r="K7" s="18" t="inlineStr"/>
      <c r="L7" s="18" t="inlineStr">
        <is>
          <t>SCRAP</t>
        </is>
      </c>
      <c r="M7" s="27" t="n">
        <v>46491.70833333334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8" customWidth="1" min="10" max="10"/>
  </cols>
  <sheetData>
    <row r="1">
      <c r="A1" s="15" t="inlineStr">
        <is>
          <t>BATCH CLOSE REGISTER</t>
        </is>
      </c>
    </row>
    <row r="2">
      <c r="A2" s="16" t="inlineStr">
        <is>
          <t>A batch closes only here. Variance above tolerance needs a reason and an approver.</t>
        </is>
      </c>
    </row>
    <row r="4" ht="30" customHeight="1">
      <c r="A4" s="17" t="inlineStr">
        <is>
          <t>Batch ID</t>
        </is>
      </c>
      <c r="B4" s="17" t="inlineStr">
        <is>
          <t>Close Date</t>
        </is>
      </c>
      <c r="C4" s="17" t="inlineStr">
        <is>
          <t>Net Batch kg</t>
        </is>
      </c>
      <c r="D4" s="17" t="inlineStr">
        <is>
          <t>Output kg</t>
        </is>
      </c>
      <c r="E4" s="17" t="inlineStr">
        <is>
          <t>Scrap kg</t>
        </is>
      </c>
      <c r="F4" s="17" t="inlineStr">
        <is>
          <t>Variance kg</t>
        </is>
      </c>
      <c r="G4" s="17" t="inlineStr">
        <is>
          <t>Var %</t>
        </is>
      </c>
      <c r="H4" s="17" t="inlineStr">
        <is>
          <t>Variance Reason</t>
        </is>
      </c>
      <c r="I4" s="17" t="inlineStr">
        <is>
          <t>Closed By</t>
        </is>
      </c>
      <c r="J4" s="17" t="inlineStr">
        <is>
          <t>Approved By</t>
        </is>
      </c>
    </row>
    <row r="5">
      <c r="A5" s="16" t="inlineStr">
        <is>
          <t>(no batch closed yet in this sample)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7" customWidth="1" min="3" max="3"/>
    <col width="12" customWidth="1" min="4" max="4"/>
    <col width="8" customWidth="1" min="5" max="5"/>
    <col width="8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6" customWidth="1" min="12" max="12"/>
    <col width="9" customWidth="1" min="13" max="13"/>
    <col width="5" customWidth="1" min="14" max="14"/>
    <col width="6" customWidth="1" min="15" max="15"/>
    <col width="18" customWidth="1" min="16" max="16"/>
  </cols>
  <sheetData>
    <row r="1">
      <c r="A1" s="15" t="inlineStr">
        <is>
          <t>BATCH BALANCE - open batches (calculated)</t>
        </is>
      </c>
    </row>
    <row r="2">
      <c r="A2" s="16" t="inlineStr">
        <is>
          <t>kg left = issued - returned - cut output - cut scrap - stores scrap. Cutting entries are blocked beyond kg left + tolerance.</t>
        </is>
      </c>
    </row>
    <row r="4" ht="30" customHeight="1">
      <c r="A4" s="17" t="inlineStr">
        <is>
          <t>Batch ID</t>
        </is>
      </c>
      <c r="B4" s="17" t="inlineStr">
        <is>
          <t>Issue Date</t>
        </is>
      </c>
      <c r="C4" s="17" t="inlineStr">
        <is>
          <t>Machine</t>
        </is>
      </c>
      <c r="D4" s="17" t="inlineStr">
        <is>
          <t>Lot ID</t>
        </is>
      </c>
      <c r="E4" s="17" t="inlineStr">
        <is>
          <t>Issued kg</t>
        </is>
      </c>
      <c r="F4" s="17" t="inlineStr">
        <is>
          <t>Returned kg</t>
        </is>
      </c>
      <c r="G4" s="17" t="inlineStr">
        <is>
          <t>Net kg</t>
        </is>
      </c>
      <c r="H4" s="17" t="inlineStr">
        <is>
          <t>Cut Output kg</t>
        </is>
      </c>
      <c r="I4" s="17" t="inlineStr">
        <is>
          <t>Cut Scrap kg</t>
        </is>
      </c>
      <c r="J4" s="17" t="inlineStr">
        <is>
          <t>Stores Scrap kg</t>
        </is>
      </c>
      <c r="K4" s="17" t="inlineStr">
        <is>
          <t>kg Left</t>
        </is>
      </c>
      <c r="L4" s="17" t="inlineStr">
        <is>
          <t>Var %</t>
        </is>
      </c>
      <c r="M4" s="17" t="inlineStr">
        <is>
          <t>Variance Rs</t>
        </is>
      </c>
      <c r="N4" s="17" t="inlineStr">
        <is>
          <t>Lines</t>
        </is>
      </c>
      <c r="O4" s="17" t="inlineStr">
        <is>
          <t>Days Open</t>
        </is>
      </c>
      <c r="P4" s="17" t="inlineStr">
        <is>
          <t>Status</t>
        </is>
      </c>
    </row>
    <row r="5">
      <c r="A5" s="25" t="inlineStr">
        <is>
          <t>ISS-2728-000001</t>
        </is>
      </c>
      <c r="B5" s="28">
        <f>INDEX('X_Batch'!$B$5:$B$400,MATCH(A5,'X_Batch'!$A$5:$A$400,0))</f>
        <v/>
      </c>
      <c r="C5" s="25">
        <f>INDEX('X_Batch'!$C$5:$C$400,MATCH(A5,'X_Batch'!$A$5:$A$400,0))</f>
        <v/>
      </c>
      <c r="D5" s="25">
        <f>INDEX('X_Batch'!$D$5:$D$400,MATCH(A5,'X_Batch'!$A$5:$A$400,0))</f>
        <v/>
      </c>
      <c r="E5" s="23">
        <f>INDEX('X_Batch'!$F$5:$F$400,MATCH(A5,'X_Batch'!$A$5:$A$400,0))</f>
        <v/>
      </c>
      <c r="F5" s="23">
        <f>INDEX('X_Batch'!$H$5:$H$400,MATCH(A5,'X_Batch'!$A$5:$A$400,0))</f>
        <v/>
      </c>
      <c r="G5" s="21">
        <f>E5-F5</f>
        <v/>
      </c>
      <c r="H5" s="21">
        <f>SUMIFS('Production Register'!$M$5:$M$400,'Production Register'!$F$5:$F$400,A5,'Production Register'!$E$5:$E$400,"CUTTING")</f>
        <v/>
      </c>
      <c r="I5" s="21">
        <f>SUMIFS('Production Register'!$N$5:$N$400,'Production Register'!$F$5:$F$400,A5,'Production Register'!$E$5:$E$400,"CUTTING")</f>
        <v/>
      </c>
      <c r="J5" s="23">
        <f>INDEX('X_Batch'!$I$5:$I$400,MATCH(A5,'X_Batch'!$A$5:$A$400,0))</f>
        <v/>
      </c>
      <c r="K5" s="29">
        <f>ROUND(G5-H5-I5-J5,3)</f>
        <v/>
      </c>
      <c r="L5" s="30">
        <f>IF(G5=0,0,K5/G5)</f>
        <v/>
      </c>
      <c r="M5" s="31">
        <f>ROUND(K5*INDEX('X_Batch'!$J$5:$J$400,MATCH(A5,'X_Batch'!$A$5:$A$400,0)),2)</f>
        <v/>
      </c>
      <c r="N5" s="18">
        <f>COUNTIFS('Production Register'!$F$5:$F$400,A5)</f>
        <v/>
      </c>
      <c r="O5" s="18">
        <f>'Settings'!$B$7-B5</f>
        <v/>
      </c>
      <c r="P5" s="24">
        <f>IF(COUNTIF('Batch Close Register'!$A$5:$A$400,A5)&gt;0,"CLOSED",IF(N5=0,"NOT STARTED",IF(K5&lt;-MAX('Settings'!$B$10,'Settings'!$B$9*G5),"OVER-CONSUMED",IF(ABS(K5)&lt;=MAX('Settings'!$B$10,'Settings'!$B$9*G5),"READY TO CLOSE","IN PROGRESS"))))</f>
        <v/>
      </c>
    </row>
    <row r="6">
      <c r="A6" s="25" t="inlineStr">
        <is>
          <t>ISS-2728-000002</t>
        </is>
      </c>
      <c r="B6" s="28">
        <f>INDEX('X_Batch'!$B$5:$B$400,MATCH(A6,'X_Batch'!$A$5:$A$400,0))</f>
        <v/>
      </c>
      <c r="C6" s="25">
        <f>INDEX('X_Batch'!$C$5:$C$400,MATCH(A6,'X_Batch'!$A$5:$A$400,0))</f>
        <v/>
      </c>
      <c r="D6" s="25">
        <f>INDEX('X_Batch'!$D$5:$D$400,MATCH(A6,'X_Batch'!$A$5:$A$400,0))</f>
        <v/>
      </c>
      <c r="E6" s="23">
        <f>INDEX('X_Batch'!$F$5:$F$400,MATCH(A6,'X_Batch'!$A$5:$A$400,0))</f>
        <v/>
      </c>
      <c r="F6" s="23">
        <f>INDEX('X_Batch'!$H$5:$H$400,MATCH(A6,'X_Batch'!$A$5:$A$400,0))</f>
        <v/>
      </c>
      <c r="G6" s="21">
        <f>E6-F6</f>
        <v/>
      </c>
      <c r="H6" s="21">
        <f>SUMIFS('Production Register'!$M$5:$M$400,'Production Register'!$F$5:$F$400,A6,'Production Register'!$E$5:$E$400,"CUTTING")</f>
        <v/>
      </c>
      <c r="I6" s="21">
        <f>SUMIFS('Production Register'!$N$5:$N$400,'Production Register'!$F$5:$F$400,A6,'Production Register'!$E$5:$E$400,"CUTTING")</f>
        <v/>
      </c>
      <c r="J6" s="23">
        <f>INDEX('X_Batch'!$I$5:$I$400,MATCH(A6,'X_Batch'!$A$5:$A$400,0))</f>
        <v/>
      </c>
      <c r="K6" s="29">
        <f>ROUND(G6-H6-I6-J6,3)</f>
        <v/>
      </c>
      <c r="L6" s="30">
        <f>IF(G6=0,0,K6/G6)</f>
        <v/>
      </c>
      <c r="M6" s="31">
        <f>ROUND(K6*INDEX('X_Batch'!$J$5:$J$400,MATCH(A6,'X_Batch'!$A$5:$A$400,0)),2)</f>
        <v/>
      </c>
      <c r="N6" s="18">
        <f>COUNTIFS('Production Register'!$F$5:$F$400,A6)</f>
        <v/>
      </c>
      <c r="O6" s="18">
        <f>'Settings'!$B$7-B6</f>
        <v/>
      </c>
      <c r="P6" s="24">
        <f>IF(COUNTIF('Batch Close Register'!$A$5:$A$400,A6)&gt;0,"CLOSED",IF(N6=0,"NOT STARTED",IF(K6&lt;-MAX('Settings'!$B$10,'Settings'!$B$9*G6),"OVER-CONSUMED",IF(ABS(K6)&lt;=MAX('Settings'!$B$10,'Settings'!$B$9*G6),"READY TO CLOSE","IN PROGRESS"))))</f>
        <v/>
      </c>
    </row>
    <row r="7">
      <c r="A7" s="25" t="inlineStr">
        <is>
          <t>ISS-2728-000004</t>
        </is>
      </c>
      <c r="B7" s="28">
        <f>INDEX('X_Batch'!$B$5:$B$400,MATCH(A7,'X_Batch'!$A$5:$A$400,0))</f>
        <v/>
      </c>
      <c r="C7" s="25">
        <f>INDEX('X_Batch'!$C$5:$C$400,MATCH(A7,'X_Batch'!$A$5:$A$400,0))</f>
        <v/>
      </c>
      <c r="D7" s="25">
        <f>INDEX('X_Batch'!$D$5:$D$400,MATCH(A7,'X_Batch'!$A$5:$A$400,0))</f>
        <v/>
      </c>
      <c r="E7" s="23">
        <f>INDEX('X_Batch'!$F$5:$F$400,MATCH(A7,'X_Batch'!$A$5:$A$400,0))</f>
        <v/>
      </c>
      <c r="F7" s="23">
        <f>INDEX('X_Batch'!$H$5:$H$400,MATCH(A7,'X_Batch'!$A$5:$A$400,0))</f>
        <v/>
      </c>
      <c r="G7" s="21">
        <f>E7-F7</f>
        <v/>
      </c>
      <c r="H7" s="21">
        <f>SUMIFS('Production Register'!$M$5:$M$400,'Production Register'!$F$5:$F$400,A7,'Production Register'!$E$5:$E$400,"CUTTING")</f>
        <v/>
      </c>
      <c r="I7" s="21">
        <f>SUMIFS('Production Register'!$N$5:$N$400,'Production Register'!$F$5:$F$400,A7,'Production Register'!$E$5:$E$400,"CUTTING")</f>
        <v/>
      </c>
      <c r="J7" s="23">
        <f>INDEX('X_Batch'!$I$5:$I$400,MATCH(A7,'X_Batch'!$A$5:$A$400,0))</f>
        <v/>
      </c>
      <c r="K7" s="29">
        <f>ROUND(G7-H7-I7-J7,3)</f>
        <v/>
      </c>
      <c r="L7" s="30">
        <f>IF(G7=0,0,K7/G7)</f>
        <v/>
      </c>
      <c r="M7" s="31">
        <f>ROUND(K7*INDEX('X_Batch'!$J$5:$J$400,MATCH(A7,'X_Batch'!$A$5:$A$400,0)),2)</f>
        <v/>
      </c>
      <c r="N7" s="18">
        <f>COUNTIFS('Production Register'!$F$5:$F$400,A7)</f>
        <v/>
      </c>
      <c r="O7" s="18">
        <f>'Settings'!$B$7-B7</f>
        <v/>
      </c>
      <c r="P7" s="24">
        <f>IF(COUNTIF('Batch Close Register'!$A$5:$A$400,A7)&gt;0,"CLOSED",IF(N7=0,"NOT STARTED",IF(K7&lt;-MAX('Settings'!$B$10,'Settings'!$B$9*G7),"OVER-CONSUMED",IF(ABS(K7)&lt;=MAX('Settings'!$B$10,'Settings'!$B$9*G7),"READY TO CLOSE","IN PROGRESS"))))</f>
        <v/>
      </c>
    </row>
  </sheetData>
  <conditionalFormatting sqref="P5:P7">
    <cfRule type="expression" priority="1" dxfId="0" stopIfTrue="1">
      <formula>OR(LEFT(P5,5)="READY",P5="OK",LEFT(P5,6)="CLOSED")</formula>
    </cfRule>
    <cfRule type="expression" priority="2" dxfId="1" stopIfTrue="1">
      <formula>OR(LEFT(P5,4)="WARN",LEFT(P5,2)="IN",LEFT(P5,3)="NOT",LEFT(P5,7)="REORDER",LEFT(P5,5)="STALE",LEFT(P5,4)="PART",LEFT(P5,7)="PENDING",LEFT(P5,5)="READY")</formula>
    </cfRule>
    <cfRule type="expression" priority="3" dxfId="2">
      <formula>LEN(P5)&gt;0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11" customWidth="1" min="4" max="4"/>
    <col width="7" customWidth="1" min="5" max="5"/>
    <col width="9" customWidth="1" min="6" max="6"/>
    <col width="8" customWidth="1" min="7" max="7"/>
    <col width="7" customWidth="1" min="8" max="8"/>
    <col width="8" customWidth="1" min="9" max="9"/>
    <col width="22" customWidth="1" min="10" max="10"/>
  </cols>
  <sheetData>
    <row r="1">
      <c r="A1" s="15" t="inlineStr">
        <is>
          <t>WIP BALANCE - transaction-calculated (no counts)</t>
        </is>
      </c>
    </row>
    <row r="2">
      <c r="A2" s="16" t="inlineStr">
        <is>
          <t>WIP = completed here - completed at next stage (or sent on JWC / to FG) - rejected here + rework OK.</t>
        </is>
      </c>
    </row>
    <row r="4" ht="30" customHeight="1">
      <c r="A4" s="17" t="inlineStr">
        <is>
          <t>Part ID</t>
        </is>
      </c>
      <c r="B4" s="17" t="inlineStr">
        <is>
          <t>Stage</t>
        </is>
      </c>
      <c r="C4" s="17" t="inlineStr">
        <is>
          <t>Route</t>
        </is>
      </c>
      <c r="D4" s="17" t="inlineStr">
        <is>
          <t>Next Stage</t>
        </is>
      </c>
      <c r="E4" s="17" t="inlineStr">
        <is>
          <t>Qty In</t>
        </is>
      </c>
      <c r="F4" s="17" t="inlineStr">
        <is>
          <t>Qty Moved On</t>
        </is>
      </c>
      <c r="G4" s="17" t="inlineStr">
        <is>
          <t>Rejected (net)</t>
        </is>
      </c>
      <c r="H4" s="17" t="inlineStr">
        <is>
          <t>WIP Qty</t>
        </is>
      </c>
      <c r="I4" s="17" t="inlineStr">
        <is>
          <t>WIP kg</t>
        </is>
      </c>
      <c r="J4" s="17" t="inlineStr">
        <is>
          <t>Status</t>
        </is>
      </c>
    </row>
    <row r="5">
      <c r="A5" s="25" t="inlineStr">
        <is>
          <t>A12-BP-01</t>
        </is>
      </c>
      <c r="B5" s="25" t="inlineStr">
        <is>
          <t>CUTTING</t>
        </is>
      </c>
      <c r="C5" s="25">
        <f>INDEX('M_Part'!$J$5:$J$50,MATCH(A5,'M_Part'!$A$5:$A$50,0))</f>
        <v/>
      </c>
      <c r="D5" s="25">
        <f t="array" ref="D5">INDEX('M_Stage_Route'!$D$5:$D$50,MATCH(1,('M_Stage_Route'!$A$5:$A$50=C5)*('M_Stage_Route'!$C$5:$C$50=B5),0))</f>
        <v/>
      </c>
      <c r="E5" s="18">
        <f>SUMIFS('Production Register'!$K$5:$K$400,'Production Register'!$I$5:$I$400,A5,'Production Register'!$E$5:$E$400,B5)</f>
        <v/>
      </c>
      <c r="F5" s="18">
        <f>IF(D5="JWC",SUMIFS('X_JWCSent'!$B$5:$B$50,'X_JWCSent'!$A$5:$A$50,A5),SUMIFS('Production Register'!$K$5:$K$400,'Production Register'!$I$5:$I$400,A5,'Production Register'!$E$5:$E$400,D5))</f>
        <v/>
      </c>
      <c r="G5" s="18">
        <f>SUMIFS('Rej-Rework Register'!$H$5:$H$400,'Rej-Rework Register'!$G$5:$G$400,A5,'Rej-Rework Register'!$F$5:$F$400,B5,'Rej-Rework Register'!$C$5:$C$400,"REJECT")-SUMIFS('Rej-Rework Register'!$H$5:$H$400,'Rej-Rework Register'!$G$5:$G$400,A5,'Rej-Rework Register'!$F$5:$F$400,B5,'Rej-Rework Register'!$C$5:$C$400,"REWORK-OK")</f>
        <v/>
      </c>
      <c r="H5" s="32">
        <f>E5-F5-G5</f>
        <v/>
      </c>
      <c r="I5" s="21">
        <f>ROUND(H5*INDEX('M_Part'!$H$5:$H$50,MATCH(A5,'M_Part'!$A$5:$A$50,0)),3)</f>
        <v/>
      </c>
      <c r="J5" s="24">
        <f>IF(H5&lt;0,"BREACH - route / posting error",IF(H5=0,"OK","IN WIP"))</f>
        <v/>
      </c>
    </row>
    <row r="6">
      <c r="A6" s="25" t="inlineStr">
        <is>
          <t>A12-BP-01</t>
        </is>
      </c>
      <c r="B6" s="25" t="inlineStr">
        <is>
          <t>BENDING</t>
        </is>
      </c>
      <c r="C6" s="25">
        <f>INDEX('M_Part'!$J$5:$J$50,MATCH(A6,'M_Part'!$A$5:$A$50,0))</f>
        <v/>
      </c>
      <c r="D6" s="25">
        <f t="array" ref="D6">INDEX('M_Stage_Route'!$D$5:$D$50,MATCH(1,('M_Stage_Route'!$A$5:$A$50=C6)*('M_Stage_Route'!$C$5:$C$50=B6),0))</f>
        <v/>
      </c>
      <c r="E6" s="18">
        <f>SUMIFS('Production Register'!$K$5:$K$400,'Production Register'!$I$5:$I$400,A6,'Production Register'!$E$5:$E$400,B6)</f>
        <v/>
      </c>
      <c r="F6" s="18">
        <f>IF(D6="JWC",SUMIFS('X_JWCSent'!$B$5:$B$50,'X_JWCSent'!$A$5:$A$50,A6),SUMIFS('Production Register'!$K$5:$K$400,'Production Register'!$I$5:$I$400,A6,'Production Register'!$E$5:$E$400,D6))</f>
        <v/>
      </c>
      <c r="G6" s="18">
        <f>SUMIFS('Rej-Rework Register'!$H$5:$H$400,'Rej-Rework Register'!$G$5:$G$400,A6,'Rej-Rework Register'!$F$5:$F$400,B6,'Rej-Rework Register'!$C$5:$C$400,"REJECT")-SUMIFS('Rej-Rework Register'!$H$5:$H$400,'Rej-Rework Register'!$G$5:$G$400,A6,'Rej-Rework Register'!$F$5:$F$400,B6,'Rej-Rework Register'!$C$5:$C$400,"REWORK-OK")</f>
        <v/>
      </c>
      <c r="H6" s="32">
        <f>E6-F6-G6</f>
        <v/>
      </c>
      <c r="I6" s="21">
        <f>ROUND(H6*INDEX('M_Part'!$H$5:$H$50,MATCH(A6,'M_Part'!$A$5:$A$50,0)),3)</f>
        <v/>
      </c>
      <c r="J6" s="24">
        <f>IF(H6&lt;0,"BREACH - route / posting error",IF(H6=0,"OK","IN WIP"))</f>
        <v/>
      </c>
    </row>
    <row r="7">
      <c r="A7" s="25" t="inlineStr">
        <is>
          <t>A12-BP-01</t>
        </is>
      </c>
      <c r="B7" s="25" t="inlineStr">
        <is>
          <t>FABRICATION</t>
        </is>
      </c>
      <c r="C7" s="25">
        <f>INDEX('M_Part'!$J$5:$J$50,MATCH(A7,'M_Part'!$A$5:$A$50,0))</f>
        <v/>
      </c>
      <c r="D7" s="25">
        <f t="array" ref="D7">INDEX('M_Stage_Route'!$D$5:$D$50,MATCH(1,('M_Stage_Route'!$A$5:$A$50=C7)*('M_Stage_Route'!$C$5:$C$50=B7),0))</f>
        <v/>
      </c>
      <c r="E7" s="18">
        <f>SUMIFS('Production Register'!$K$5:$K$400,'Production Register'!$I$5:$I$400,A7,'Production Register'!$E$5:$E$400,B7)</f>
        <v/>
      </c>
      <c r="F7" s="18">
        <f>IF(D7="JWC",SUMIFS('X_JWCSent'!$B$5:$B$50,'X_JWCSent'!$A$5:$A$50,A7),SUMIFS('Production Register'!$K$5:$K$400,'Production Register'!$I$5:$I$400,A7,'Production Register'!$E$5:$E$400,D7))</f>
        <v/>
      </c>
      <c r="G7" s="18">
        <f>SUMIFS('Rej-Rework Register'!$H$5:$H$400,'Rej-Rework Register'!$G$5:$G$400,A7,'Rej-Rework Register'!$F$5:$F$400,B7,'Rej-Rework Register'!$C$5:$C$400,"REJECT")-SUMIFS('Rej-Rework Register'!$H$5:$H$400,'Rej-Rework Register'!$G$5:$G$400,A7,'Rej-Rework Register'!$F$5:$F$400,B7,'Rej-Rework Register'!$C$5:$C$400,"REWORK-OK")</f>
        <v/>
      </c>
      <c r="H7" s="32">
        <f>E7-F7-G7</f>
        <v/>
      </c>
      <c r="I7" s="21">
        <f>ROUND(H7*INDEX('M_Part'!$H$5:$H$50,MATCH(A7,'M_Part'!$A$5:$A$50,0)),3)</f>
        <v/>
      </c>
      <c r="J7" s="24">
        <f>IF(H7&lt;0,"BREACH - route / posting error",IF(H7=0,"OK","IN WIP"))</f>
        <v/>
      </c>
    </row>
    <row r="8">
      <c r="A8" s="25" t="inlineStr">
        <is>
          <t>B07-CB-02</t>
        </is>
      </c>
      <c r="B8" s="25" t="inlineStr">
        <is>
          <t>CUTTING</t>
        </is>
      </c>
      <c r="C8" s="25">
        <f>INDEX('M_Part'!$J$5:$J$50,MATCH(A8,'M_Part'!$A$5:$A$50,0))</f>
        <v/>
      </c>
      <c r="D8" s="25">
        <f t="array" ref="D8">INDEX('M_Stage_Route'!$D$5:$D$50,MATCH(1,('M_Stage_Route'!$A$5:$A$50=C8)*('M_Stage_Route'!$C$5:$C$50=B8),0))</f>
        <v/>
      </c>
      <c r="E8" s="18">
        <f>SUMIFS('Production Register'!$K$5:$K$400,'Production Register'!$I$5:$I$400,A8,'Production Register'!$E$5:$E$400,B8)</f>
        <v/>
      </c>
      <c r="F8" s="18">
        <f>IF(D8="JWC",SUMIFS('X_JWCSent'!$B$5:$B$50,'X_JWCSent'!$A$5:$A$50,A8),SUMIFS('Production Register'!$K$5:$K$400,'Production Register'!$I$5:$I$400,A8,'Production Register'!$E$5:$E$400,D8))</f>
        <v/>
      </c>
      <c r="G8" s="18">
        <f>SUMIFS('Rej-Rework Register'!$H$5:$H$400,'Rej-Rework Register'!$G$5:$G$400,A8,'Rej-Rework Register'!$F$5:$F$400,B8,'Rej-Rework Register'!$C$5:$C$400,"REJECT")-SUMIFS('Rej-Rework Register'!$H$5:$H$400,'Rej-Rework Register'!$G$5:$G$400,A8,'Rej-Rework Register'!$F$5:$F$400,B8,'Rej-Rework Register'!$C$5:$C$400,"REWORK-OK")</f>
        <v/>
      </c>
      <c r="H8" s="32">
        <f>E8-F8-G8</f>
        <v/>
      </c>
      <c r="I8" s="21">
        <f>ROUND(H8*INDEX('M_Part'!$H$5:$H$50,MATCH(A8,'M_Part'!$A$5:$A$50,0)),3)</f>
        <v/>
      </c>
      <c r="J8" s="24">
        <f>IF(H8&lt;0,"BREACH - route / posting error",IF(H8=0,"OK","IN WIP"))</f>
        <v/>
      </c>
    </row>
    <row r="9">
      <c r="A9" s="25" t="inlineStr">
        <is>
          <t>B07-CB-02</t>
        </is>
      </c>
      <c r="B9" s="25" t="inlineStr">
        <is>
          <t>BENDING</t>
        </is>
      </c>
      <c r="C9" s="25">
        <f>INDEX('M_Part'!$J$5:$J$50,MATCH(A9,'M_Part'!$A$5:$A$50,0))</f>
        <v/>
      </c>
      <c r="D9" s="25">
        <f t="array" ref="D9">INDEX('M_Stage_Route'!$D$5:$D$50,MATCH(1,('M_Stage_Route'!$A$5:$A$50=C9)*('M_Stage_Route'!$C$5:$C$50=B9),0))</f>
        <v/>
      </c>
      <c r="E9" s="18">
        <f>SUMIFS('Production Register'!$K$5:$K$400,'Production Register'!$I$5:$I$400,A9,'Production Register'!$E$5:$E$400,B9)</f>
        <v/>
      </c>
      <c r="F9" s="18">
        <f>IF(D9="JWC",SUMIFS('X_JWCSent'!$B$5:$B$50,'X_JWCSent'!$A$5:$A$50,A9),SUMIFS('Production Register'!$K$5:$K$400,'Production Register'!$I$5:$I$400,A9,'Production Register'!$E$5:$E$400,D9))</f>
        <v/>
      </c>
      <c r="G9" s="18">
        <f>SUMIFS('Rej-Rework Register'!$H$5:$H$400,'Rej-Rework Register'!$G$5:$G$400,A9,'Rej-Rework Register'!$F$5:$F$400,B9,'Rej-Rework Register'!$C$5:$C$400,"REJECT")-SUMIFS('Rej-Rework Register'!$H$5:$H$400,'Rej-Rework Register'!$G$5:$G$400,A9,'Rej-Rework Register'!$F$5:$F$400,B9,'Rej-Rework Register'!$C$5:$C$400,"REWORK-OK")</f>
        <v/>
      </c>
      <c r="H9" s="32">
        <f>E9-F9-G9</f>
        <v/>
      </c>
      <c r="I9" s="21">
        <f>ROUND(H9*INDEX('M_Part'!$H$5:$H$50,MATCH(A9,'M_Part'!$A$5:$A$50,0)),3)</f>
        <v/>
      </c>
      <c r="J9" s="24">
        <f>IF(H9&lt;0,"BREACH - route / posting error",IF(H9=0,"OK","IN WIP"))</f>
        <v/>
      </c>
    </row>
    <row r="10">
      <c r="A10" s="25" t="inlineStr">
        <is>
          <t>C03-FR-01</t>
        </is>
      </c>
      <c r="B10" s="25" t="inlineStr">
        <is>
          <t>CUTTING</t>
        </is>
      </c>
      <c r="C10" s="25">
        <f>INDEX('M_Part'!$J$5:$J$50,MATCH(A10,'M_Part'!$A$5:$A$50,0))</f>
        <v/>
      </c>
      <c r="D10" s="25">
        <f t="array" ref="D10">INDEX('M_Stage_Route'!$D$5:$D$50,MATCH(1,('M_Stage_Route'!$A$5:$A$50=C10)*('M_Stage_Route'!$C$5:$C$50=B10),0))</f>
        <v/>
      </c>
      <c r="E10" s="18">
        <f>SUMIFS('Production Register'!$K$5:$K$400,'Production Register'!$I$5:$I$400,A10,'Production Register'!$E$5:$E$400,B10)</f>
        <v/>
      </c>
      <c r="F10" s="18">
        <f>IF(D10="JWC",SUMIFS('X_JWCSent'!$B$5:$B$50,'X_JWCSent'!$A$5:$A$50,A10),SUMIFS('Production Register'!$K$5:$K$400,'Production Register'!$I$5:$I$400,A10,'Production Register'!$E$5:$E$400,D10))</f>
        <v/>
      </c>
      <c r="G10" s="18">
        <f>SUMIFS('Rej-Rework Register'!$H$5:$H$400,'Rej-Rework Register'!$G$5:$G$400,A10,'Rej-Rework Register'!$F$5:$F$400,B10,'Rej-Rework Register'!$C$5:$C$400,"REJECT")-SUMIFS('Rej-Rework Register'!$H$5:$H$400,'Rej-Rework Register'!$G$5:$G$400,A10,'Rej-Rework Register'!$F$5:$F$400,B10,'Rej-Rework Register'!$C$5:$C$400,"REWORK-OK")</f>
        <v/>
      </c>
      <c r="H10" s="32">
        <f>E10-F10-G10</f>
        <v/>
      </c>
      <c r="I10" s="21">
        <f>ROUND(H10*INDEX('M_Part'!$H$5:$H$50,MATCH(A10,'M_Part'!$A$5:$A$50,0)),3)</f>
        <v/>
      </c>
      <c r="J10" s="24">
        <f>IF(H10&lt;0,"BREACH - route / posting error",IF(H10=0,"OK","IN WIP"))</f>
        <v/>
      </c>
    </row>
  </sheetData>
  <conditionalFormatting sqref="J5:J10">
    <cfRule type="expression" priority="1" dxfId="0" stopIfTrue="1">
      <formula>OR(LEFT(J5,5)="READY",J5="OK",LEFT(J5,6)="CLOSED")</formula>
    </cfRule>
    <cfRule type="expression" priority="2" dxfId="1" stopIfTrue="1">
      <formula>OR(LEFT(J5,4)="WARN",LEFT(J5,2)="IN",LEFT(J5,3)="NOT",LEFT(J5,7)="REORDER",LEFT(J5,5)="STALE",LEFT(J5,4)="PART",LEFT(J5,7)="PENDING",LEFT(J5,5)="READY")</formula>
    </cfRule>
    <cfRule type="expression" priority="3" dxfId="2">
      <formula>LEN(J5)&gt;0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zoomScale="9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8" customWidth="1" min="4" max="4"/>
    <col width="6" customWidth="1" min="5" max="5"/>
  </cols>
  <sheetData>
    <row r="1">
      <c r="A1" s="15" t="inlineStr">
        <is>
          <t>DAILY OUTPUT - pick a date</t>
        </is>
      </c>
    </row>
    <row r="2">
      <c r="A2" s="16" t="inlineStr">
        <is>
          <t>Simple summary by machine for one day (PivotTable in the real build).</t>
        </is>
      </c>
    </row>
    <row r="3">
      <c r="A3" s="33" t="inlineStr">
        <is>
          <t>Date</t>
        </is>
      </c>
      <c r="B3" s="34" t="n">
        <v>46489</v>
      </c>
    </row>
    <row r="5" ht="30" customHeight="1">
      <c r="A5" s="17" t="inlineStr">
        <is>
          <t>Machine ID</t>
        </is>
      </c>
      <c r="B5" s="17" t="inlineStr">
        <is>
          <t>Stage</t>
        </is>
      </c>
      <c r="C5" s="17" t="inlineStr">
        <is>
          <t>Output kg</t>
        </is>
      </c>
      <c r="D5" s="17" t="inlineStr">
        <is>
          <t>Scrap kg</t>
        </is>
      </c>
      <c r="E5" s="17" t="inlineStr">
        <is>
          <t>Lines</t>
        </is>
      </c>
    </row>
    <row r="6">
      <c r="A6" s="25" t="inlineStr">
        <is>
          <t>MC-01</t>
        </is>
      </c>
      <c r="B6" s="25">
        <f>INDEX('M_Machine'!$C$5:$C$50,MATCH(A6,'M_Machine'!$A$5:$A$50,0))</f>
        <v/>
      </c>
      <c r="C6" s="21">
        <f>SUMIFS('Production Register'!$M$5:$M$400,'Production Register'!$D$5:$D$400,A6,'Production Register'!$B$5:$B$400,$B$3)</f>
        <v/>
      </c>
      <c r="D6" s="21">
        <f>SUMIFS('Production Register'!$N$5:$N$400,'Production Register'!$D$5:$D$400,A6,'Production Register'!$B$5:$B$400,$B$3)</f>
        <v/>
      </c>
      <c r="E6" s="18">
        <f>COUNTIFS('Production Register'!$D$5:$D$400,A6,'Production Register'!$B$5:$B$400,$B$3)</f>
        <v/>
      </c>
    </row>
    <row r="7">
      <c r="A7" s="25" t="inlineStr">
        <is>
          <t>MC-02</t>
        </is>
      </c>
      <c r="B7" s="25">
        <f>INDEX('M_Machine'!$C$5:$C$50,MATCH(A7,'M_Machine'!$A$5:$A$50,0))</f>
        <v/>
      </c>
      <c r="C7" s="21">
        <f>SUMIFS('Production Register'!$M$5:$M$400,'Production Register'!$D$5:$D$400,A7,'Production Register'!$B$5:$B$400,$B$3)</f>
        <v/>
      </c>
      <c r="D7" s="21">
        <f>SUMIFS('Production Register'!$N$5:$N$400,'Production Register'!$D$5:$D$400,A7,'Production Register'!$B$5:$B$400,$B$3)</f>
        <v/>
      </c>
      <c r="E7" s="18">
        <f>COUNTIFS('Production Register'!$D$5:$D$400,A7,'Production Register'!$B$5:$B$400,$B$3)</f>
        <v/>
      </c>
    </row>
    <row r="8">
      <c r="A8" s="25" t="inlineStr">
        <is>
          <t>MC-03</t>
        </is>
      </c>
      <c r="B8" s="25">
        <f>INDEX('M_Machine'!$C$5:$C$50,MATCH(A8,'M_Machine'!$A$5:$A$50,0))</f>
        <v/>
      </c>
      <c r="C8" s="21">
        <f>SUMIFS('Production Register'!$M$5:$M$400,'Production Register'!$D$5:$D$400,A8,'Production Register'!$B$5:$B$400,$B$3)</f>
        <v/>
      </c>
      <c r="D8" s="21">
        <f>SUMIFS('Production Register'!$N$5:$N$400,'Production Register'!$D$5:$D$400,A8,'Production Register'!$B$5:$B$400,$B$3)</f>
        <v/>
      </c>
      <c r="E8" s="18">
        <f>COUNTIFS('Production Register'!$D$5:$D$400,A8,'Production Register'!$B$5:$B$400,$B$3)</f>
        <v/>
      </c>
    </row>
    <row r="9">
      <c r="A9" s="25" t="inlineStr">
        <is>
          <t>MC-05</t>
        </is>
      </c>
      <c r="B9" s="25">
        <f>INDEX('M_Machine'!$C$5:$C$50,MATCH(A9,'M_Machine'!$A$5:$A$50,0))</f>
        <v/>
      </c>
      <c r="C9" s="21">
        <f>SUMIFS('Production Register'!$M$5:$M$400,'Production Register'!$D$5:$D$400,A9,'Production Register'!$B$5:$B$400,$B$3)</f>
        <v/>
      </c>
      <c r="D9" s="21">
        <f>SUMIFS('Production Register'!$N$5:$N$400,'Production Register'!$D$5:$D$400,A9,'Production Register'!$B$5:$B$400,$B$3)</f>
        <v/>
      </c>
      <c r="E9" s="18">
        <f>COUNTIFS('Production Register'!$D$5:$D$400,A9,'Production Register'!$B$5:$B$400,$B$3)</f>
        <v/>
      </c>
    </row>
    <row r="10">
      <c r="A10" s="25" t="inlineStr">
        <is>
          <t>MC-07</t>
        </is>
      </c>
      <c r="B10" s="25">
        <f>INDEX('M_Machine'!$C$5:$C$50,MATCH(A10,'M_Machine'!$A$5:$A$50,0))</f>
        <v/>
      </c>
      <c r="C10" s="21">
        <f>SUMIFS('Production Register'!$M$5:$M$400,'Production Register'!$D$5:$D$400,A10,'Production Register'!$B$5:$B$400,$B$3)</f>
        <v/>
      </c>
      <c r="D10" s="21">
        <f>SUMIFS('Production Register'!$N$5:$N$400,'Production Register'!$D$5:$D$400,A10,'Production Register'!$B$5:$B$400,$B$3)</f>
        <v/>
      </c>
      <c r="E10" s="18">
        <f>COUNTIFS('Production Register'!$D$5:$D$400,A10,'Production Register'!$B$5:$B$400,$B$3)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12" customWidth="1" min="4" max="4"/>
    <col width="9" customWidth="1" min="5" max="5"/>
    <col width="9" customWidth="1" min="6" max="6"/>
    <col width="7" customWidth="1" min="7" max="7"/>
    <col width="9" customWidth="1" min="8" max="8"/>
    <col width="9" customWidth="1" min="9" max="9"/>
    <col width="7" customWidth="1" min="10" max="10"/>
    <col width="15" customWidth="1" min="11" max="11"/>
  </cols>
  <sheetData>
    <row r="1">
      <c r="A1" s="15" t="inlineStr">
        <is>
          <t>X_BATCH - open batches from Stores (values)</t>
        </is>
      </c>
    </row>
    <row r="2">
      <c r="A2" s="16" t="inlineStr">
        <is>
          <t>Power Query extract of Stores ISSUE lines with returns and stores scrap per batch.</t>
        </is>
      </c>
    </row>
    <row r="4" ht="30" customHeight="1">
      <c r="A4" s="17" t="inlineStr">
        <is>
          <t>Batch ID</t>
        </is>
      </c>
      <c r="B4" s="17" t="inlineStr">
        <is>
          <t>Issue Date</t>
        </is>
      </c>
      <c r="C4" s="17" t="inlineStr">
        <is>
          <t>Machine ID</t>
        </is>
      </c>
      <c r="D4" s="17" t="inlineStr">
        <is>
          <t>Lot ID</t>
        </is>
      </c>
      <c r="E4" s="17" t="inlineStr">
        <is>
          <t>Material ID</t>
        </is>
      </c>
      <c r="F4" s="17" t="inlineStr">
        <is>
          <t>Issued kg</t>
        </is>
      </c>
      <c r="G4" s="17" t="inlineStr">
        <is>
          <t>Issued Sh</t>
        </is>
      </c>
      <c r="H4" s="17" t="inlineStr">
        <is>
          <t>Returned kg</t>
        </is>
      </c>
      <c r="I4" s="17" t="inlineStr">
        <is>
          <t>Stores Scrap kg</t>
        </is>
      </c>
      <c r="J4" s="17" t="inlineStr">
        <is>
          <t>Rate Rs</t>
        </is>
      </c>
      <c r="K4" s="17" t="inlineStr">
        <is>
          <t>Run ID</t>
        </is>
      </c>
    </row>
    <row r="5">
      <c r="A5" s="25" t="inlineStr">
        <is>
          <t>ISS-2728-000001</t>
        </is>
      </c>
      <c r="B5" s="28" t="n">
        <v>46489</v>
      </c>
      <c r="C5" s="25" t="inlineStr">
        <is>
          <t>MC-01</t>
        </is>
      </c>
      <c r="D5" s="25" t="inlineStr">
        <is>
          <t>GP-2728-0001</t>
        </is>
      </c>
      <c r="E5" s="25" t="inlineStr">
        <is>
          <t>GPSP-1.6</t>
        </is>
      </c>
      <c r="F5" s="23" t="n">
        <v>471</v>
      </c>
      <c r="G5" s="25" t="n">
        <v>12</v>
      </c>
      <c r="H5" s="23" t="n">
        <v>18.4</v>
      </c>
      <c r="I5" s="23" t="n">
        <v>0</v>
      </c>
      <c r="J5" s="35" t="n">
        <v>74.5</v>
      </c>
      <c r="K5" s="25" t="inlineStr">
        <is>
          <t>RUN-270415-0800</t>
        </is>
      </c>
    </row>
    <row r="6">
      <c r="A6" s="25" t="inlineStr">
        <is>
          <t>ISS-2728-000002</t>
        </is>
      </c>
      <c r="B6" s="28" t="n">
        <v>46489</v>
      </c>
      <c r="C6" s="25" t="inlineStr">
        <is>
          <t>MC-03</t>
        </is>
      </c>
      <c r="D6" s="25" t="inlineStr">
        <is>
          <t>GP-2728-0002</t>
        </is>
      </c>
      <c r="E6" s="25" t="inlineStr">
        <is>
          <t>GPSP-1.2</t>
        </is>
      </c>
      <c r="F6" s="23" t="n">
        <v>420</v>
      </c>
      <c r="G6" s="25" t="n">
        <v>15</v>
      </c>
      <c r="H6" s="23" t="n">
        <v>0</v>
      </c>
      <c r="I6" s="23" t="n">
        <v>0</v>
      </c>
      <c r="J6" s="35" t="n">
        <v>74.5</v>
      </c>
      <c r="K6" s="25" t="inlineStr">
        <is>
          <t>RUN-270415-0800</t>
        </is>
      </c>
    </row>
    <row r="7">
      <c r="A7" s="25" t="inlineStr">
        <is>
          <t>ISS-2728-000004</t>
        </is>
      </c>
      <c r="B7" s="28" t="n">
        <v>46490</v>
      </c>
      <c r="C7" s="25" t="inlineStr">
        <is>
          <t>MC-02</t>
        </is>
      </c>
      <c r="D7" s="25" t="inlineStr">
        <is>
          <t>HR-2728-0001</t>
        </is>
      </c>
      <c r="E7" s="25" t="inlineStr">
        <is>
          <t>HRCA-2.0</t>
        </is>
      </c>
      <c r="F7" s="23" t="n">
        <v>214.9</v>
      </c>
      <c r="G7" s="25" t="n">
        <v>3</v>
      </c>
      <c r="H7" s="23" t="n">
        <v>0</v>
      </c>
      <c r="I7" s="23" t="n">
        <v>0</v>
      </c>
      <c r="J7" s="35" t="n">
        <v>66.09999999999999</v>
      </c>
      <c r="K7" s="25" t="inlineStr">
        <is>
          <t>RUN-270415-0800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7" customWidth="1" min="4" max="4"/>
  </cols>
  <sheetData>
    <row r="1">
      <c r="A1" s="15" t="inlineStr">
        <is>
          <t>X_MATERIAL - from Stores (values)</t>
        </is>
      </c>
    </row>
    <row r="2">
      <c r="A2" s="16" t="inlineStr">
        <is>
          <t>Power Query extract.</t>
        </is>
      </c>
    </row>
    <row r="4" ht="30" customHeight="1">
      <c r="A4" s="17" t="inlineStr">
        <is>
          <t>Material ID</t>
        </is>
      </c>
      <c r="B4" s="17" t="inlineStr">
        <is>
          <t>Grade</t>
        </is>
      </c>
      <c r="C4" s="17" t="inlineStr">
        <is>
          <t>Thk mm</t>
        </is>
      </c>
      <c r="D4" s="17" t="inlineStr">
        <is>
          <t>Active</t>
        </is>
      </c>
    </row>
    <row r="5">
      <c r="A5" s="25" t="inlineStr">
        <is>
          <t>GPSP-1.6</t>
        </is>
      </c>
      <c r="B5" s="25" t="inlineStr">
        <is>
          <t>GPSP</t>
        </is>
      </c>
      <c r="C5" s="25" t="n">
        <v>1.6</v>
      </c>
      <c r="D5" s="25" t="inlineStr">
        <is>
          <t>Yes</t>
        </is>
      </c>
    </row>
    <row r="6">
      <c r="A6" s="25" t="inlineStr">
        <is>
          <t>GPSP-1.2</t>
        </is>
      </c>
      <c r="B6" s="25" t="inlineStr">
        <is>
          <t>GPSP</t>
        </is>
      </c>
      <c r="C6" s="25" t="n">
        <v>1.2</v>
      </c>
      <c r="D6" s="25" t="inlineStr">
        <is>
          <t>Yes</t>
        </is>
      </c>
    </row>
    <row r="7">
      <c r="A7" s="25" t="inlineStr">
        <is>
          <t>CRCA-1.0</t>
        </is>
      </c>
      <c r="B7" s="25" t="inlineStr">
        <is>
          <t>CRCA</t>
        </is>
      </c>
      <c r="C7" s="25" t="n">
        <v>1</v>
      </c>
      <c r="D7" s="25" t="inlineStr">
        <is>
          <t>Yes</t>
        </is>
      </c>
    </row>
    <row r="8">
      <c r="A8" s="25" t="inlineStr">
        <is>
          <t>HRCA-2.0</t>
        </is>
      </c>
      <c r="B8" s="25" t="inlineStr">
        <is>
          <t>HRCA</t>
        </is>
      </c>
      <c r="C8" s="25" t="n">
        <v>2</v>
      </c>
      <c r="D8" s="2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7" customWidth="1" min="3" max="3"/>
  </cols>
  <sheetData>
    <row r="1">
      <c r="A1" s="15" t="inlineStr">
        <is>
          <t>X_CUSTOMER - from Dispatch (values)</t>
        </is>
      </c>
    </row>
    <row r="2">
      <c r="A2" s="16" t="inlineStr">
        <is>
          <t>Power Query extract.</t>
        </is>
      </c>
    </row>
    <row r="4" ht="30" customHeight="1">
      <c r="A4" s="17" t="inlineStr">
        <is>
          <t>Customer ID</t>
        </is>
      </c>
      <c r="B4" s="17" t="inlineStr">
        <is>
          <t>Customer</t>
        </is>
      </c>
      <c r="C4" s="17" t="inlineStr">
        <is>
          <t>Active</t>
        </is>
      </c>
    </row>
    <row r="5">
      <c r="A5" s="25" t="inlineStr">
        <is>
          <t>CUS-01</t>
        </is>
      </c>
      <c r="B5" s="25" t="inlineStr">
        <is>
          <t>Customer 1 (masked)</t>
        </is>
      </c>
      <c r="C5" s="25" t="inlineStr">
        <is>
          <t>Yes</t>
        </is>
      </c>
    </row>
    <row r="6">
      <c r="A6" s="25" t="inlineStr">
        <is>
          <t>CUS-02</t>
        </is>
      </c>
      <c r="B6" s="25" t="inlineStr">
        <is>
          <t>Customer 2 (masked)</t>
        </is>
      </c>
      <c r="C6" s="2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</cols>
  <sheetData>
    <row r="1">
      <c r="A1" s="15" t="inlineStr">
        <is>
          <t>X_JWC SENT / FG TRANSFER - from Dispatch (values)</t>
        </is>
      </c>
    </row>
    <row r="2">
      <c r="A2" s="16" t="inlineStr">
        <is>
          <t>Quantities that left WIP to a coater (JWC) by part.</t>
        </is>
      </c>
    </row>
    <row r="4" ht="30" customHeight="1">
      <c r="A4" s="17" t="inlineStr">
        <is>
          <t>Part ID</t>
        </is>
      </c>
      <c r="B4" s="17" t="inlineStr">
        <is>
          <t>Sent on JWC Qty</t>
        </is>
      </c>
      <c r="C4" s="17" t="inlineStr">
        <is>
          <t>Run ID</t>
        </is>
      </c>
    </row>
    <row r="5">
      <c r="A5" s="25" t="inlineStr">
        <is>
          <t>A12-BP-01</t>
        </is>
      </c>
      <c r="B5" s="25" t="n">
        <v>40</v>
      </c>
      <c r="C5" s="25" t="inlineStr">
        <is>
          <t>RUN-270415-0800</t>
        </is>
      </c>
    </row>
    <row r="6">
      <c r="A6" s="25" t="inlineStr">
        <is>
          <t>B07-CB-02</t>
        </is>
      </c>
      <c r="B6" s="25" t="n">
        <v>100</v>
      </c>
      <c r="C6" s="25" t="inlineStr">
        <is>
          <t>RUN-270415-0800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13" customWidth="1" min="6" max="6"/>
    <col width="7" customWidth="1" min="7" max="7"/>
    <col width="10" customWidth="1" min="8" max="8"/>
  </cols>
  <sheetData>
    <row r="1">
      <c r="A1" s="15" t="inlineStr">
        <is>
          <t>PRODUCT MASTER - single master for all four books</t>
        </is>
      </c>
    </row>
    <row r="2">
      <c r="A2" s="16" t="inlineStr">
        <is>
          <t>Product ID never changes; Stores, Dispatch and MIS import this sheet.</t>
        </is>
      </c>
    </row>
    <row r="4" ht="30" customHeight="1">
      <c r="A4" s="17" t="inlineStr">
        <is>
          <t>Product ID</t>
        </is>
      </c>
      <c r="B4" s="17" t="inlineStr">
        <is>
          <t>Product Name</t>
        </is>
      </c>
      <c r="C4" s="17" t="inlineStr">
        <is>
          <t>Customer ID</t>
        </is>
      </c>
      <c r="D4" s="17" t="inlineStr">
        <is>
          <t>Category</t>
        </is>
      </c>
      <c r="E4" s="17" t="inlineStr">
        <is>
          <t>BOM Model</t>
        </is>
      </c>
      <c r="F4" s="17" t="inlineStr">
        <is>
          <t>Coating Route</t>
        </is>
      </c>
      <c r="G4" s="17" t="inlineStr">
        <is>
          <t>Active</t>
        </is>
      </c>
      <c r="H4" s="17" t="inlineStr">
        <is>
          <t>Effective From</t>
        </is>
      </c>
    </row>
    <row r="5">
      <c r="A5" s="20" t="inlineStr">
        <is>
          <t>PRD-A12</t>
        </is>
      </c>
      <c r="B5" s="20" t="inlineStr">
        <is>
          <t>Model A12 ODU</t>
        </is>
      </c>
      <c r="C5" s="20" t="inlineStr">
        <is>
          <t>CUS-01</t>
        </is>
      </c>
      <c r="D5" s="20" t="inlineStr">
        <is>
          <t>ODU</t>
        </is>
      </c>
      <c r="E5" s="20" t="inlineStr">
        <is>
          <t>A12-ED2026B</t>
        </is>
      </c>
      <c r="F5" s="20" t="inlineStr">
        <is>
          <t>POWDER COAT</t>
        </is>
      </c>
      <c r="G5" s="20" t="inlineStr">
        <is>
          <t>Yes</t>
        </is>
      </c>
      <c r="H5" s="19" t="n">
        <v>46478</v>
      </c>
    </row>
    <row r="6">
      <c r="A6" s="20" t="inlineStr">
        <is>
          <t>PRD-B07</t>
        </is>
      </c>
      <c r="B6" s="20" t="inlineStr">
        <is>
          <t>Model B07 IDU</t>
        </is>
      </c>
      <c r="C6" s="20" t="inlineStr">
        <is>
          <t>CUS-01</t>
        </is>
      </c>
      <c r="D6" s="20" t="inlineStr">
        <is>
          <t>IDU</t>
        </is>
      </c>
      <c r="E6" s="20" t="inlineStr">
        <is>
          <t>B07-ED2026B</t>
        </is>
      </c>
      <c r="F6" s="20" t="inlineStr">
        <is>
          <t>POWDER COAT</t>
        </is>
      </c>
      <c r="G6" s="20" t="inlineStr">
        <is>
          <t>Yes</t>
        </is>
      </c>
      <c r="H6" s="19" t="n">
        <v>46478</v>
      </c>
    </row>
    <row r="7">
      <c r="A7" s="20" t="inlineStr">
        <is>
          <t>PRD-C03</t>
        </is>
      </c>
      <c r="B7" s="20" t="inlineStr">
        <is>
          <t>Model C03 frame</t>
        </is>
      </c>
      <c r="C7" s="20" t="inlineStr">
        <is>
          <t>CUS-02</t>
        </is>
      </c>
      <c r="D7" s="20" t="inlineStr">
        <is>
          <t>FRAME</t>
        </is>
      </c>
      <c r="E7" s="20" t="inlineStr">
        <is>
          <t>C03-ED2026A</t>
        </is>
      </c>
      <c r="F7" s="20" t="inlineStr">
        <is>
          <t>NO COATING</t>
        </is>
      </c>
      <c r="G7" s="20" t="inlineStr">
        <is>
          <t>Yes</t>
        </is>
      </c>
      <c r="H7" s="19" t="n">
        <v>46478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zoomScale="9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10" customWidth="1" min="4" max="4"/>
    <col width="5" customWidth="1" min="5" max="5"/>
    <col width="9" customWidth="1" min="6" max="6"/>
    <col width="6" customWidth="1" min="7" max="7"/>
    <col width="8" customWidth="1" min="8" max="8"/>
    <col width="7" customWidth="1" min="9" max="9"/>
    <col width="7" customWidth="1" min="10" max="10"/>
    <col width="6" customWidth="1" min="11" max="11"/>
  </cols>
  <sheetData>
    <row r="1">
      <c r="A1" s="15" t="inlineStr">
        <is>
          <t>PART MASTER</t>
        </is>
      </c>
    </row>
    <row r="2">
      <c r="A2" s="16" t="inlineStr">
        <is>
          <t>One row per Part ID and revision. Wt/pc is copied onto production lines at posting.</t>
        </is>
      </c>
    </row>
    <row r="4" ht="30" customHeight="1">
      <c r="A4" s="17" t="inlineStr">
        <is>
          <t>Part ID</t>
        </is>
      </c>
      <c r="B4" s="17" t="inlineStr">
        <is>
          <t>Product ID</t>
        </is>
      </c>
      <c r="C4" s="17" t="inlineStr">
        <is>
          <t>Part Name</t>
        </is>
      </c>
      <c r="D4" s="17" t="inlineStr">
        <is>
          <t>Drawing No</t>
        </is>
      </c>
      <c r="E4" s="17" t="inlineStr">
        <is>
          <t>Rev</t>
        </is>
      </c>
      <c r="F4" s="17" t="inlineStr">
        <is>
          <t>Material ID</t>
        </is>
      </c>
      <c r="G4" s="17" t="inlineStr">
        <is>
          <t>Thk mm</t>
        </is>
      </c>
      <c r="H4" s="17" t="inlineStr">
        <is>
          <t>Wt/pc kg</t>
        </is>
      </c>
      <c r="I4" s="17" t="inlineStr">
        <is>
          <t>Sq ft/pc</t>
        </is>
      </c>
      <c r="J4" s="17" t="inlineStr">
        <is>
          <t>Route</t>
        </is>
      </c>
      <c r="K4" s="17" t="inlineStr">
        <is>
          <t>Active</t>
        </is>
      </c>
    </row>
    <row r="5">
      <c r="A5" s="20" t="inlineStr">
        <is>
          <t>A12-BP-01</t>
        </is>
      </c>
      <c r="B5" s="20" t="inlineStr">
        <is>
          <t>PRD-A12</t>
        </is>
      </c>
      <c r="C5" s="20" t="inlineStr">
        <is>
          <t>Base panel</t>
        </is>
      </c>
      <c r="D5" s="20" t="inlineStr">
        <is>
          <t>DRG-1102</t>
        </is>
      </c>
      <c r="E5" s="20" t="inlineStr">
        <is>
          <t>C</t>
        </is>
      </c>
      <c r="F5" s="20" t="inlineStr">
        <is>
          <t>GPSP-1.6</t>
        </is>
      </c>
      <c r="G5" s="20" t="n">
        <v>1.6</v>
      </c>
      <c r="H5" s="22" t="n">
        <v>6.215</v>
      </c>
      <c r="I5" s="20" t="n">
        <v>4.15</v>
      </c>
      <c r="J5" s="20" t="inlineStr">
        <is>
          <t>R-CBF</t>
        </is>
      </c>
      <c r="K5" s="20" t="inlineStr">
        <is>
          <t>Yes</t>
        </is>
      </c>
    </row>
    <row r="6">
      <c r="A6" s="20" t="inlineStr">
        <is>
          <t>A12-SP-04</t>
        </is>
      </c>
      <c r="B6" s="20" t="inlineStr">
        <is>
          <t>PRD-A12</t>
        </is>
      </c>
      <c r="C6" s="20" t="inlineStr">
        <is>
          <t>Side panel</t>
        </is>
      </c>
      <c r="D6" s="20" t="inlineStr">
        <is>
          <t>DRG-1107</t>
        </is>
      </c>
      <c r="E6" s="20" t="inlineStr">
        <is>
          <t>A</t>
        </is>
      </c>
      <c r="F6" s="20" t="inlineStr">
        <is>
          <t>GPSP-1.6</t>
        </is>
      </c>
      <c r="G6" s="20" t="n">
        <v>1.6</v>
      </c>
      <c r="H6" s="22" t="n">
        <v>2.01</v>
      </c>
      <c r="I6" s="20" t="n">
        <v>1.6</v>
      </c>
      <c r="J6" s="20" t="inlineStr">
        <is>
          <t>R-CB</t>
        </is>
      </c>
      <c r="K6" s="20" t="inlineStr">
        <is>
          <t>Yes</t>
        </is>
      </c>
    </row>
    <row r="7">
      <c r="A7" s="20" t="inlineStr">
        <is>
          <t>B07-CB-02</t>
        </is>
      </c>
      <c r="B7" s="20" t="inlineStr">
        <is>
          <t>PRD-B07</t>
        </is>
      </c>
      <c r="C7" s="20" t="inlineStr">
        <is>
          <t>Coil bracket</t>
        </is>
      </c>
      <c r="D7" s="20" t="inlineStr">
        <is>
          <t>DRG-2210</t>
        </is>
      </c>
      <c r="E7" s="20" t="inlineStr">
        <is>
          <t>B</t>
        </is>
      </c>
      <c r="F7" s="20" t="inlineStr">
        <is>
          <t>GPSP-1.2</t>
        </is>
      </c>
      <c r="G7" s="20" t="n">
        <v>1.2</v>
      </c>
      <c r="H7" s="22" t="n">
        <v>1.15</v>
      </c>
      <c r="I7" s="20" t="n">
        <v>0.9</v>
      </c>
      <c r="J7" s="20" t="inlineStr">
        <is>
          <t>R-CB</t>
        </is>
      </c>
      <c r="K7" s="20" t="inlineStr">
        <is>
          <t>Yes</t>
        </is>
      </c>
    </row>
    <row r="8">
      <c r="A8" s="20" t="inlineStr">
        <is>
          <t>C03-FR-01</t>
        </is>
      </c>
      <c r="B8" s="20" t="inlineStr">
        <is>
          <t>PRD-C03</t>
        </is>
      </c>
      <c r="C8" s="20" t="inlineStr">
        <is>
          <t>Frame</t>
        </is>
      </c>
      <c r="D8" s="20" t="inlineStr">
        <is>
          <t>DRG-3301</t>
        </is>
      </c>
      <c r="E8" s="20" t="inlineStr">
        <is>
          <t>A</t>
        </is>
      </c>
      <c r="F8" s="20" t="inlineStr">
        <is>
          <t>HRCA-2.0</t>
        </is>
      </c>
      <c r="G8" s="20" t="n">
        <v>2</v>
      </c>
      <c r="H8" s="22" t="n">
        <v>12.4</v>
      </c>
      <c r="I8" s="20" t="n">
        <v>6.2</v>
      </c>
      <c r="J8" s="20" t="inlineStr">
        <is>
          <t>R-CF</t>
        </is>
      </c>
      <c r="K8" s="20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10" customWidth="1" min="4" max="4"/>
    <col width="10" customWidth="1" min="5" max="5"/>
    <col width="9" customWidth="1" min="6" max="6"/>
  </cols>
  <sheetData>
    <row r="1">
      <c r="A1" s="15" t="inlineStr">
        <is>
          <t>BOM EDITIONS</t>
        </is>
      </c>
    </row>
    <row r="2">
      <c r="A2" s="16" t="inlineStr">
        <is>
          <t>New edition = new rows; old edition kept.</t>
        </is>
      </c>
    </row>
    <row r="4" ht="30" customHeight="1">
      <c r="A4" s="17" t="inlineStr">
        <is>
          <t>BOM Model</t>
        </is>
      </c>
      <c r="B4" s="17" t="inlineStr">
        <is>
          <t>Product ID</t>
        </is>
      </c>
      <c r="C4" s="17" t="inlineStr">
        <is>
          <t>Edition</t>
        </is>
      </c>
      <c r="D4" s="17" t="inlineStr">
        <is>
          <t>Effective From</t>
        </is>
      </c>
      <c r="E4" s="17" t="inlineStr">
        <is>
          <t>Review Due</t>
        </is>
      </c>
      <c r="F4" s="17" t="inlineStr">
        <is>
          <t>Set Wt kg</t>
        </is>
      </c>
    </row>
    <row r="5">
      <c r="A5" s="20" t="inlineStr">
        <is>
          <t>A12-ED2026B</t>
        </is>
      </c>
      <c r="B5" s="20" t="inlineStr">
        <is>
          <t>PRD-A12</t>
        </is>
      </c>
      <c r="C5" s="20" t="inlineStr">
        <is>
          <t>2026-B</t>
        </is>
      </c>
      <c r="D5" s="19" t="n">
        <v>46296</v>
      </c>
      <c r="E5" s="19" t="n">
        <v>46478</v>
      </c>
      <c r="F5" s="21" t="n">
        <v>42.663</v>
      </c>
    </row>
    <row r="6">
      <c r="A6" s="20" t="inlineStr">
        <is>
          <t>B07-ED2026B</t>
        </is>
      </c>
      <c r="B6" s="20" t="inlineStr">
        <is>
          <t>PRD-B07</t>
        </is>
      </c>
      <c r="C6" s="20" t="inlineStr">
        <is>
          <t>2026-B</t>
        </is>
      </c>
      <c r="D6" s="19" t="n">
        <v>46296</v>
      </c>
      <c r="E6" s="19" t="n">
        <v>46478</v>
      </c>
      <c r="F6" s="21" t="n">
        <v>18.2</v>
      </c>
    </row>
    <row r="7">
      <c r="A7" s="20" t="inlineStr">
        <is>
          <t>C03-ED2026A</t>
        </is>
      </c>
      <c r="B7" s="20" t="inlineStr">
        <is>
          <t>PRD-C03</t>
        </is>
      </c>
      <c r="C7" s="20" t="inlineStr">
        <is>
          <t>2026-A</t>
        </is>
      </c>
      <c r="D7" s="19" t="n">
        <v>46113</v>
      </c>
      <c r="E7" s="19" t="n">
        <v>46296</v>
      </c>
      <c r="F7" s="21" t="n">
        <v>74.23999999999999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6" customWidth="1" min="3" max="3"/>
    <col width="10" customWidth="1" min="4" max="4"/>
    <col width="9" customWidth="1" min="5" max="5"/>
    <col width="9" customWidth="1" min="6" max="6"/>
    <col width="6" customWidth="1" min="7" max="7"/>
    <col width="9" customWidth="1" min="8" max="8"/>
    <col width="7" customWidth="1" min="9" max="9"/>
  </cols>
  <sheetData>
    <row r="1">
      <c r="A1" s="15" t="inlineStr">
        <is>
          <t>BOM LINES</t>
        </is>
      </c>
    </row>
    <row r="2">
      <c r="A2" s="16" t="inlineStr">
        <is>
          <t>Wt per set = blank weight x qty per set.</t>
        </is>
      </c>
    </row>
    <row r="4" ht="30" customHeight="1">
      <c r="A4" s="17" t="inlineStr">
        <is>
          <t>BOM Model</t>
        </is>
      </c>
      <c r="B4" s="17" t="inlineStr">
        <is>
          <t>SR No</t>
        </is>
      </c>
      <c r="C4" s="17" t="inlineStr">
        <is>
          <t>Parent SR</t>
        </is>
      </c>
      <c r="D4" s="17" t="inlineStr">
        <is>
          <t>Part ID</t>
        </is>
      </c>
      <c r="E4" s="17" t="inlineStr">
        <is>
          <t>Material ID</t>
        </is>
      </c>
      <c r="F4" s="17" t="inlineStr">
        <is>
          <t>Blank Wt kg</t>
        </is>
      </c>
      <c r="G4" s="17" t="inlineStr">
        <is>
          <t>Qty/Set</t>
        </is>
      </c>
      <c r="H4" s="17" t="inlineStr">
        <is>
          <t>Wt per Set kg</t>
        </is>
      </c>
      <c r="I4" s="17" t="inlineStr">
        <is>
          <t>Costable</t>
        </is>
      </c>
    </row>
    <row r="5">
      <c r="A5" s="20" t="inlineStr">
        <is>
          <t>A12-ED2026B</t>
        </is>
      </c>
      <c r="B5" s="20" t="n">
        <v>1</v>
      </c>
      <c r="C5" s="20" t="inlineStr"/>
      <c r="D5" s="20" t="inlineStr">
        <is>
          <t>A12-BP-01</t>
        </is>
      </c>
      <c r="E5" s="25" t="inlineStr">
        <is>
          <t>GPSP-1.6</t>
        </is>
      </c>
      <c r="F5" s="22" t="n">
        <v>6.215</v>
      </c>
      <c r="G5" s="20" t="n">
        <v>1</v>
      </c>
      <c r="H5" s="21">
        <f>ROUND(F5*G5,3)</f>
        <v/>
      </c>
      <c r="I5" s="36" t="inlineStr">
        <is>
          <t>Yes</t>
        </is>
      </c>
    </row>
    <row r="6">
      <c r="A6" s="20" t="inlineStr">
        <is>
          <t>A12-ED2026B</t>
        </is>
      </c>
      <c r="B6" s="20" t="n">
        <v>2</v>
      </c>
      <c r="C6" s="20" t="inlineStr"/>
      <c r="D6" s="20" t="inlineStr">
        <is>
          <t>A12-SP-04</t>
        </is>
      </c>
      <c r="E6" s="25" t="inlineStr">
        <is>
          <t>GPSP-1.6</t>
        </is>
      </c>
      <c r="F6" s="22" t="n">
        <v>2.01</v>
      </c>
      <c r="G6" s="20" t="n">
        <v>2</v>
      </c>
      <c r="H6" s="21">
        <f>ROUND(F6*G6,3)</f>
        <v/>
      </c>
      <c r="I6" s="36" t="inlineStr">
        <is>
          <t>Yes</t>
        </is>
      </c>
    </row>
    <row r="7">
      <c r="A7" s="20" t="inlineStr">
        <is>
          <t>B07-ED2026B</t>
        </is>
      </c>
      <c r="B7" s="20" t="n">
        <v>1</v>
      </c>
      <c r="C7" s="20" t="inlineStr"/>
      <c r="D7" s="20" t="inlineStr">
        <is>
          <t>B07-CB-02</t>
        </is>
      </c>
      <c r="E7" s="25" t="inlineStr">
        <is>
          <t>GPSP-1.2</t>
        </is>
      </c>
      <c r="F7" s="22" t="n">
        <v>1.15</v>
      </c>
      <c r="G7" s="20" t="n">
        <v>4</v>
      </c>
      <c r="H7" s="21">
        <f>ROUND(F7*G7,3)</f>
        <v/>
      </c>
      <c r="I7" s="36" t="inlineStr">
        <is>
          <t>Yes</t>
        </is>
      </c>
    </row>
    <row r="8">
      <c r="A8" s="20" t="inlineStr">
        <is>
          <t>C03-ED2026A</t>
        </is>
      </c>
      <c r="B8" s="20" t="n">
        <v>1</v>
      </c>
      <c r="C8" s="20" t="inlineStr"/>
      <c r="D8" s="20" t="inlineStr">
        <is>
          <t>C03-FR-01</t>
        </is>
      </c>
      <c r="E8" s="25" t="inlineStr">
        <is>
          <t>HRCA-2.0</t>
        </is>
      </c>
      <c r="F8" s="22" t="n">
        <v>12.4</v>
      </c>
      <c r="G8" s="20" t="n">
        <v>2</v>
      </c>
      <c r="H8" s="21">
        <f>ROUND(F8*G8,3)</f>
        <v/>
      </c>
      <c r="I8" s="3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zoomScale="90"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3" customWidth="1" min="3" max="3"/>
    <col width="13" customWidth="1" min="4" max="4"/>
    <col width="18" customWidth="1" min="5" max="5"/>
  </cols>
  <sheetData>
    <row r="1">
      <c r="A1" s="15" t="inlineStr">
        <is>
          <t>STAGE &amp; ROUTE MASTER</t>
        </is>
      </c>
    </row>
    <row r="2">
      <c r="A2" s="16" t="inlineStr">
        <is>
          <t>Stage sequence per route - this is what makes WIP calculable without counts.</t>
        </is>
      </c>
    </row>
    <row r="4" ht="30" customHeight="1">
      <c r="A4" s="17" t="inlineStr">
        <is>
          <t>Route</t>
        </is>
      </c>
      <c r="B4" s="17" t="inlineStr">
        <is>
          <t>Seq</t>
        </is>
      </c>
      <c r="C4" s="17" t="inlineStr">
        <is>
          <t>Stage</t>
        </is>
      </c>
      <c r="D4" s="17" t="inlineStr">
        <is>
          <t>Next Stage</t>
        </is>
      </c>
      <c r="E4" s="17" t="inlineStr">
        <is>
          <t>Ends In</t>
        </is>
      </c>
    </row>
    <row r="5">
      <c r="A5" s="20" t="inlineStr">
        <is>
          <t>R-CBF</t>
        </is>
      </c>
      <c r="B5" s="20" t="n">
        <v>1</v>
      </c>
      <c r="C5" s="20" t="inlineStr">
        <is>
          <t>CUTTING</t>
        </is>
      </c>
      <c r="D5" s="20" t="inlineStr">
        <is>
          <t>BENDING</t>
        </is>
      </c>
      <c r="E5" s="20" t="inlineStr"/>
    </row>
    <row r="6">
      <c r="A6" s="20" t="inlineStr">
        <is>
          <t>R-CBF</t>
        </is>
      </c>
      <c r="B6" s="20" t="n">
        <v>2</v>
      </c>
      <c r="C6" s="20" t="inlineStr">
        <is>
          <t>BENDING</t>
        </is>
      </c>
      <c r="D6" s="20" t="inlineStr">
        <is>
          <t>FABRICATION</t>
        </is>
      </c>
      <c r="E6" s="20" t="inlineStr"/>
    </row>
    <row r="7">
      <c r="A7" s="20" t="inlineStr">
        <is>
          <t>R-CBF</t>
        </is>
      </c>
      <c r="B7" s="20" t="n">
        <v>3</v>
      </c>
      <c r="C7" s="20" t="inlineStr">
        <is>
          <t>FABRICATION</t>
        </is>
      </c>
      <c r="D7" s="20" t="inlineStr">
        <is>
          <t>JWC</t>
        </is>
      </c>
      <c r="E7" s="20" t="inlineStr">
        <is>
          <t>Powder coating (JWC)</t>
        </is>
      </c>
    </row>
    <row r="8">
      <c r="A8" s="20" t="inlineStr">
        <is>
          <t>R-CB</t>
        </is>
      </c>
      <c r="B8" s="20" t="n">
        <v>1</v>
      </c>
      <c r="C8" s="20" t="inlineStr">
        <is>
          <t>CUTTING</t>
        </is>
      </c>
      <c r="D8" s="20" t="inlineStr">
        <is>
          <t>BENDING</t>
        </is>
      </c>
      <c r="E8" s="20" t="inlineStr"/>
    </row>
    <row r="9">
      <c r="A9" s="20" t="inlineStr">
        <is>
          <t>R-CB</t>
        </is>
      </c>
      <c r="B9" s="20" t="n">
        <v>2</v>
      </c>
      <c r="C9" s="20" t="inlineStr">
        <is>
          <t>BENDING</t>
        </is>
      </c>
      <c r="D9" s="20" t="inlineStr">
        <is>
          <t>JWC</t>
        </is>
      </c>
      <c r="E9" s="20" t="inlineStr">
        <is>
          <t>Powder coating (JWC)</t>
        </is>
      </c>
    </row>
    <row r="10">
      <c r="A10" s="20" t="inlineStr">
        <is>
          <t>R-CF</t>
        </is>
      </c>
      <c r="B10" s="20" t="n">
        <v>1</v>
      </c>
      <c r="C10" s="20" t="inlineStr">
        <is>
          <t>CUTTING</t>
        </is>
      </c>
      <c r="D10" s="20" t="inlineStr">
        <is>
          <t>FABRICATION</t>
        </is>
      </c>
      <c r="E10" s="20" t="inlineStr"/>
    </row>
    <row r="11">
      <c r="A11" s="20" t="inlineStr">
        <is>
          <t>R-CF</t>
        </is>
      </c>
      <c r="B11" s="20" t="n">
        <v>2</v>
      </c>
      <c r="C11" s="20" t="inlineStr">
        <is>
          <t>FABRICATION</t>
        </is>
      </c>
      <c r="D11" s="20" t="inlineStr">
        <is>
          <t>FG</t>
        </is>
      </c>
      <c r="E11" s="20" t="inlineStr">
        <is>
          <t>Finished goods (no coating)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zoomScale="9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9" customWidth="1" min="4" max="4"/>
    <col width="12" customWidth="1" min="5" max="5"/>
  </cols>
  <sheetData>
    <row r="1">
      <c r="A1" s="15" t="inlineStr">
        <is>
          <t>MACHINE MASTER</t>
        </is>
      </c>
    </row>
    <row r="2">
      <c r="A2" s="16" t="inlineStr">
        <is>
          <t>Process decides the stage of every production line.</t>
        </is>
      </c>
    </row>
    <row r="4" ht="30" customHeight="1">
      <c r="A4" s="17" t="inlineStr">
        <is>
          <t>Machine ID</t>
        </is>
      </c>
      <c r="B4" s="17" t="inlineStr">
        <is>
          <t>Machine</t>
        </is>
      </c>
      <c r="C4" s="17" t="inlineStr">
        <is>
          <t>Process</t>
        </is>
      </c>
      <c r="D4" s="17" t="inlineStr">
        <is>
          <t>Status</t>
        </is>
      </c>
      <c r="E4" s="17" t="inlineStr">
        <is>
          <t>Capacity kg/day (Phase 2)</t>
        </is>
      </c>
    </row>
    <row r="5">
      <c r="A5" s="20" t="inlineStr">
        <is>
          <t>MC-01</t>
        </is>
      </c>
      <c r="B5" s="20" t="inlineStr">
        <is>
          <t>SLTL Laser</t>
        </is>
      </c>
      <c r="C5" s="20" t="inlineStr">
        <is>
          <t>CUTTING</t>
        </is>
      </c>
      <c r="D5" s="20" t="inlineStr">
        <is>
          <t>Running</t>
        </is>
      </c>
      <c r="E5" s="22" t="inlineStr"/>
    </row>
    <row r="6">
      <c r="A6" s="20" t="inlineStr">
        <is>
          <t>MC-02</t>
        </is>
      </c>
      <c r="B6" s="20" t="inlineStr">
        <is>
          <t>Amada Punching</t>
        </is>
      </c>
      <c r="C6" s="20" t="inlineStr">
        <is>
          <t>CUTTING</t>
        </is>
      </c>
      <c r="D6" s="20" t="inlineStr">
        <is>
          <t>Running</t>
        </is>
      </c>
      <c r="E6" s="22" t="inlineStr"/>
    </row>
    <row r="7">
      <c r="A7" s="20" t="inlineStr">
        <is>
          <t>MC-03</t>
        </is>
      </c>
      <c r="B7" s="20" t="inlineStr">
        <is>
          <t>Divine Laser</t>
        </is>
      </c>
      <c r="C7" s="20" t="inlineStr">
        <is>
          <t>CUTTING</t>
        </is>
      </c>
      <c r="D7" s="20" t="inlineStr">
        <is>
          <t>Running</t>
        </is>
      </c>
      <c r="E7" s="22" t="inlineStr"/>
    </row>
    <row r="8">
      <c r="A8" s="20" t="inlineStr">
        <is>
          <t>MC-05</t>
        </is>
      </c>
      <c r="B8" s="20" t="inlineStr">
        <is>
          <t>Amada Bending</t>
        </is>
      </c>
      <c r="C8" s="20" t="inlineStr">
        <is>
          <t>BENDING</t>
        </is>
      </c>
      <c r="D8" s="20" t="inlineStr">
        <is>
          <t>Running</t>
        </is>
      </c>
      <c r="E8" s="22" t="inlineStr"/>
    </row>
    <row r="9">
      <c r="A9" s="20" t="inlineStr">
        <is>
          <t>MC-07</t>
        </is>
      </c>
      <c r="B9" s="20" t="inlineStr">
        <is>
          <t>Fabrication Bay</t>
        </is>
      </c>
      <c r="C9" s="20" t="inlineStr">
        <is>
          <t>FABRICATION</t>
        </is>
      </c>
      <c r="D9" s="20" t="inlineStr">
        <is>
          <t>Running</t>
        </is>
      </c>
      <c r="E9" s="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zoomScale="9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2" customWidth="1" min="4" max="4"/>
    <col width="6" customWidth="1" min="5" max="5"/>
  </cols>
  <sheetData>
    <row r="1">
      <c r="A1" s="15" t="inlineStr">
        <is>
          <t>PEOPLE MASTER - single list for all books</t>
        </is>
      </c>
    </row>
    <row r="2">
      <c r="A2" s="16" t="inlineStr">
        <is>
          <t>Person ID; never delete, set Active = No.</t>
        </is>
      </c>
    </row>
    <row r="4" ht="30" customHeight="1">
      <c r="A4" s="17" t="inlineStr">
        <is>
          <t>Person ID</t>
        </is>
      </c>
      <c r="B4" s="17" t="inlineStr">
        <is>
          <t>Name (masked)</t>
        </is>
      </c>
      <c r="C4" s="17" t="inlineStr">
        <is>
          <t>Role</t>
        </is>
      </c>
      <c r="D4" s="17" t="inlineStr">
        <is>
          <t>Department</t>
        </is>
      </c>
      <c r="E4" s="17" t="inlineStr">
        <is>
          <t>Active</t>
        </is>
      </c>
    </row>
    <row r="5">
      <c r="A5" s="20" t="inlineStr">
        <is>
          <t>PER-003</t>
        </is>
      </c>
      <c r="B5" s="20" t="inlineStr">
        <is>
          <t>Person 03</t>
        </is>
      </c>
      <c r="C5" s="20" t="inlineStr">
        <is>
          <t>Operator</t>
        </is>
      </c>
      <c r="D5" s="20" t="inlineStr">
        <is>
          <t>Production</t>
        </is>
      </c>
      <c r="E5" s="20" t="inlineStr">
        <is>
          <t>Yes</t>
        </is>
      </c>
    </row>
    <row r="6">
      <c r="A6" s="20" t="inlineStr">
        <is>
          <t>PER-007</t>
        </is>
      </c>
      <c r="B6" s="20" t="inlineStr">
        <is>
          <t>Person 07</t>
        </is>
      </c>
      <c r="C6" s="20" t="inlineStr">
        <is>
          <t>Operator</t>
        </is>
      </c>
      <c r="D6" s="20" t="inlineStr">
        <is>
          <t>Production</t>
        </is>
      </c>
      <c r="E6" s="20" t="inlineStr">
        <is>
          <t>Yes</t>
        </is>
      </c>
    </row>
    <row r="7">
      <c r="A7" s="20" t="inlineStr">
        <is>
          <t>PER-011</t>
        </is>
      </c>
      <c r="B7" s="20" t="inlineStr">
        <is>
          <t>Person 11</t>
        </is>
      </c>
      <c r="C7" s="20" t="inlineStr">
        <is>
          <t>Operator</t>
        </is>
      </c>
      <c r="D7" s="20" t="inlineStr">
        <is>
          <t>Production</t>
        </is>
      </c>
      <c r="E7" s="20" t="inlineStr">
        <is>
          <t>Yes</t>
        </is>
      </c>
    </row>
    <row r="8">
      <c r="A8" s="20" t="inlineStr">
        <is>
          <t>PER-015</t>
        </is>
      </c>
      <c r="B8" s="20" t="inlineStr">
        <is>
          <t>Person 15</t>
        </is>
      </c>
      <c r="C8" s="20" t="inlineStr">
        <is>
          <t>Stores</t>
        </is>
      </c>
      <c r="D8" s="20" t="inlineStr">
        <is>
          <t>Stores</t>
        </is>
      </c>
      <c r="E8" s="20" t="inlineStr">
        <is>
          <t>Yes</t>
        </is>
      </c>
    </row>
    <row r="9">
      <c r="A9" s="20" t="inlineStr">
        <is>
          <t>PER-018</t>
        </is>
      </c>
      <c r="B9" s="20" t="inlineStr">
        <is>
          <t>Person 18</t>
        </is>
      </c>
      <c r="C9" s="20" t="inlineStr">
        <is>
          <t>QC / approver</t>
        </is>
      </c>
      <c r="D9" s="20" t="inlineStr">
        <is>
          <t>QC</t>
        </is>
      </c>
      <c r="E9" s="20" t="inlineStr">
        <is>
          <t>Yes</t>
        </is>
      </c>
    </row>
    <row r="10">
      <c r="A10" s="20" t="inlineStr">
        <is>
          <t>PER-021</t>
        </is>
      </c>
      <c r="B10" s="20" t="inlineStr">
        <is>
          <t>Person 21</t>
        </is>
      </c>
      <c r="C10" s="20" t="inlineStr">
        <is>
          <t>Operator</t>
        </is>
      </c>
      <c r="D10" s="20" t="inlineStr">
        <is>
          <t>Production</t>
        </is>
      </c>
      <c r="E10" s="20" t="inlineStr">
        <is>
          <t>Yes</t>
        </is>
      </c>
    </row>
    <row r="11">
      <c r="A11" s="20" t="inlineStr">
        <is>
          <t>PER-030</t>
        </is>
      </c>
      <c r="B11" s="20" t="inlineStr">
        <is>
          <t>Person 30</t>
        </is>
      </c>
      <c r="C11" s="20" t="inlineStr">
        <is>
          <t>Supervisor</t>
        </is>
      </c>
      <c r="D11" s="20" t="inlineStr">
        <is>
          <t>Production</t>
        </is>
      </c>
      <c r="E11" s="20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zoomScale="9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</cols>
  <sheetData>
    <row r="1">
      <c r="A1" s="15" t="inlineStr">
        <is>
          <t>REJECTION REASONS</t>
        </is>
      </c>
    </row>
    <row r="2">
      <c r="A2" s="16" t="inlineStr">
        <is>
          <t>Reason group + reason codes.</t>
        </is>
      </c>
    </row>
    <row r="4" ht="30" customHeight="1">
      <c r="A4" s="17" t="inlineStr">
        <is>
          <t>Code</t>
        </is>
      </c>
      <c r="B4" s="17" t="inlineStr">
        <is>
          <t>Reason Group</t>
        </is>
      </c>
      <c r="C4" s="17" t="inlineStr">
        <is>
          <t>Reason</t>
        </is>
      </c>
    </row>
    <row r="5">
      <c r="A5" s="20" t="inlineStr">
        <is>
          <t>BND-DIM</t>
        </is>
      </c>
      <c r="B5" s="20" t="inlineStr">
        <is>
          <t>BENDING - DIMENSION / POSITION</t>
        </is>
      </c>
      <c r="C5" s="20" t="inlineStr">
        <is>
          <t>Wrong bending position</t>
        </is>
      </c>
    </row>
    <row r="6">
      <c r="A6" s="20" t="inlineStr">
        <is>
          <t>CUT-MAT</t>
        </is>
      </c>
      <c r="B6" s="20" t="inlineStr">
        <is>
          <t>CUTTING / MATERIAL</t>
        </is>
      </c>
      <c r="C6" s="20" t="inlineStr">
        <is>
          <t>Cut in wrong thickness</t>
        </is>
      </c>
    </row>
    <row r="7">
      <c r="A7" s="20" t="inlineStr">
        <is>
          <t>FAB-WLD</t>
        </is>
      </c>
      <c r="B7" s="20" t="inlineStr">
        <is>
          <t>FABRICATION - WELDING</t>
        </is>
      </c>
      <c r="C7" s="20" t="inlineStr">
        <is>
          <t>Weld spatter / burn through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zoomScale="90"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0" customWidth="1" min="3" max="3"/>
    <col width="12" customWidth="1" min="4" max="4"/>
  </cols>
  <sheetData>
    <row r="1">
      <c r="A1" s="15" t="inlineStr">
        <is>
          <t>CONTROL TOTALS - read by MIS</t>
        </is>
      </c>
    </row>
    <row r="2">
      <c r="A2" s="16" t="inlineStr">
        <is>
          <t>Rows and totals per register.</t>
        </is>
      </c>
    </row>
    <row r="4" ht="30" customHeight="1">
      <c r="A4" s="17" t="inlineStr">
        <is>
          <t>Register</t>
        </is>
      </c>
      <c r="B4" s="17" t="inlineStr">
        <is>
          <t>Rows</t>
        </is>
      </c>
      <c r="C4" s="17" t="inlineStr">
        <is>
          <t>Total Qty</t>
        </is>
      </c>
      <c r="D4" s="17" t="inlineStr">
        <is>
          <t>Total kg</t>
        </is>
      </c>
    </row>
    <row r="5">
      <c r="A5" s="25" t="inlineStr">
        <is>
          <t>Production Register</t>
        </is>
      </c>
      <c r="B5" s="18">
        <f>COUNTA('Production Register'!$A$5:$A$400)</f>
        <v/>
      </c>
      <c r="C5" s="18">
        <f>SUM('Production Register'!$K$5:$K$400)</f>
        <v/>
      </c>
      <c r="D5" s="21">
        <f>SUM('Production Register'!$M$5:$M$400)</f>
        <v/>
      </c>
    </row>
    <row r="6">
      <c r="A6" s="25" t="inlineStr">
        <is>
          <t>Rej-Rework Register</t>
        </is>
      </c>
      <c r="B6" s="18">
        <f>COUNTA('Rej-Rework Register'!$A$5:$A$400)</f>
        <v/>
      </c>
      <c r="C6" s="18">
        <f>SUM('Rej-Rework Register'!$H$5:$H$400)</f>
        <v/>
      </c>
      <c r="D6" s="21">
        <f>SUM('Rej-Rework Register'!$I$5:$I$400)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13" customWidth="1" min="4" max="4"/>
    <col width="6" customWidth="1" min="5" max="5"/>
    <col width="8" customWidth="1" min="6" max="6"/>
    <col width="10" customWidth="1" min="7" max="7"/>
    <col width="10" customWidth="1" min="8" max="8"/>
  </cols>
  <sheetData>
    <row r="1">
      <c r="A1" s="15" t="inlineStr">
        <is>
          <t>REFRESH LOG</t>
        </is>
      </c>
    </row>
    <row r="2">
      <c r="A2" s="16" t="inlineStr">
        <is>
          <t>One row per import per refresh.</t>
        </is>
      </c>
    </row>
    <row r="4" ht="30" customHeight="1">
      <c r="A4" s="17" t="inlineStr">
        <is>
          <t>Run ID</t>
        </is>
      </c>
      <c r="B4" s="17" t="inlineStr">
        <is>
          <t>Refreshed At</t>
        </is>
      </c>
      <c r="C4" s="17" t="inlineStr">
        <is>
          <t>Source File</t>
        </is>
      </c>
      <c r="D4" s="17" t="inlineStr">
        <is>
          <t>Source Saved</t>
        </is>
      </c>
      <c r="E4" s="17" t="inlineStr">
        <is>
          <t>Rows</t>
        </is>
      </c>
      <c r="F4" s="17" t="inlineStr">
        <is>
          <t>Distinct IDs</t>
        </is>
      </c>
      <c r="G4" s="17" t="inlineStr">
        <is>
          <t>Control kg</t>
        </is>
      </c>
      <c r="H4" s="17" t="inlineStr">
        <is>
          <t>Status</t>
        </is>
      </c>
    </row>
    <row r="5">
      <c r="A5" s="25" t="inlineStr">
        <is>
          <t>RUN-270415-0800</t>
        </is>
      </c>
      <c r="B5" s="37" t="n">
        <v>46492.33333333334</v>
      </c>
      <c r="C5" s="25" t="inlineStr">
        <is>
          <t>1 ISKO Stores FY2027-28.xlsx</t>
        </is>
      </c>
      <c r="D5" s="37" t="n">
        <v>46491.75347222222</v>
      </c>
      <c r="E5" s="25" t="n">
        <v>3</v>
      </c>
      <c r="F5" s="25" t="n">
        <v>3</v>
      </c>
      <c r="G5" s="23" t="n">
        <v>1105.9</v>
      </c>
      <c r="H5" s="24" t="inlineStr">
        <is>
          <t>OK</t>
        </is>
      </c>
    </row>
  </sheetData>
  <conditionalFormatting sqref="H5">
    <cfRule type="expression" priority="1" dxfId="0" stopIfTrue="1">
      <formula>OR(LEFT(H5,5)="READY",H5="OK",LEFT(H5,6)="CLOSED")</formula>
    </cfRule>
    <cfRule type="expression" priority="2" dxfId="1" stopIfTrue="1">
      <formula>OR(LEFT(H5,4)="WARN",LEFT(H5,2)="IN",LEFT(H5,3)="NOT",LEFT(H5,7)="REORDER",LEFT(H5,5)="STALE",LEFT(H5,4)="PART",LEFT(H5,7)="PENDING",LEFT(H5,5)="READY")</formula>
    </cfRule>
    <cfRule type="expression" priority="3" dxfId="2">
      <formula>LEN(H5)&gt;0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zoomScale="9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</cols>
  <sheetData>
    <row r="1">
      <c r="A1" s="15" t="inlineStr">
        <is>
          <t>SETTINGS</t>
        </is>
      </c>
    </row>
    <row r="2">
      <c r="A2" s="16" t="inlineStr">
        <is>
          <t>The only place parameters are set. Typed values - no TODAY(), no CELL(). Every change goes to the Change Log.</t>
        </is>
      </c>
    </row>
    <row r="4" ht="30" customHeight="1">
      <c r="A4" s="17" t="inlineStr">
        <is>
          <t>Setting</t>
        </is>
      </c>
      <c r="B4" s="17" t="inlineStr">
        <is>
          <t>Value</t>
        </is>
      </c>
      <c r="C4" s="17" t="inlineStr">
        <is>
          <t>Note</t>
        </is>
      </c>
    </row>
    <row r="5">
      <c r="A5" s="38" t="inlineStr">
        <is>
          <t>FY</t>
        </is>
      </c>
      <c r="B5" s="36" t="inlineStr">
        <is>
          <t>2027-28</t>
        </is>
      </c>
      <c r="C5" s="24" t="inlineStr"/>
    </row>
    <row r="6">
      <c r="A6" s="38" t="inlineStr">
        <is>
          <t>FYCode</t>
        </is>
      </c>
      <c r="B6" s="36" t="inlineStr">
        <is>
          <t>2728</t>
        </is>
      </c>
      <c r="C6" s="24" t="inlineStr"/>
    </row>
    <row r="7">
      <c r="A7" s="38" t="inlineStr">
        <is>
          <t>AsOnDate</t>
        </is>
      </c>
      <c r="B7" s="19" t="n">
        <v>46492</v>
      </c>
      <c r="C7" s="24" t="inlineStr">
        <is>
          <t>Typed</t>
        </is>
      </c>
    </row>
    <row r="8">
      <c r="A8" s="38" t="inlineStr">
        <is>
          <t>LockDate</t>
        </is>
      </c>
      <c r="B8" s="19" t="n">
        <v>46477</v>
      </c>
      <c r="C8" s="24" t="inlineStr"/>
    </row>
    <row r="9">
      <c r="A9" s="38" t="inlineStr">
        <is>
          <t>BatchTol %</t>
        </is>
      </c>
      <c r="B9" s="36" t="n">
        <v>0.02</v>
      </c>
      <c r="C9" s="24" t="inlineStr">
        <is>
          <t>Batch variance tolerance</t>
        </is>
      </c>
    </row>
    <row r="10">
      <c r="A10" s="38" t="inlineStr">
        <is>
          <t>BatchTolMinKg</t>
        </is>
      </c>
      <c r="B10" s="36" t="n">
        <v>1</v>
      </c>
      <c r="C10" s="24" t="inlineStr">
        <is>
          <t>Minimum tolerance in kg</t>
        </is>
      </c>
    </row>
    <row r="11">
      <c r="A11" s="38" t="inlineStr">
        <is>
          <t>DataFolder</t>
        </is>
      </c>
      <c r="B11" s="36" t="inlineStr">
        <is>
          <t>D:\ISKO ERP\FY2027-28\</t>
        </is>
      </c>
      <c r="C11" s="24" t="inlineStr"/>
    </row>
    <row r="12">
      <c r="A12" s="38" t="inlineStr">
        <is>
          <t>StoresFile</t>
        </is>
      </c>
      <c r="B12" s="36" t="inlineStr">
        <is>
          <t>1 ISKO Stores FY2027-28.xlsx</t>
        </is>
      </c>
      <c r="C12" s="24" t="inlineStr">
        <is>
          <t>Source of X_Batch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zoomScale="9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5" t="inlineStr">
        <is>
          <t>LISTS - dropdown sources</t>
        </is>
      </c>
    </row>
    <row r="2">
      <c r="A2" s="16" t="inlineStr">
        <is>
          <t>Visible; built from masters - no spill formulas.</t>
        </is>
      </c>
    </row>
    <row r="4" ht="30" customHeight="1">
      <c r="A4" s="17" t="inlineStr">
        <is>
          <t>Shift</t>
        </is>
      </c>
      <c r="B4" s="17" t="inlineStr">
        <is>
          <t>QC</t>
        </is>
      </c>
      <c r="C4" s="17" t="inlineStr">
        <is>
          <t>Event Type</t>
        </is>
      </c>
      <c r="D4" s="17" t="inlineStr">
        <is>
          <t>Disposition</t>
        </is>
      </c>
    </row>
    <row r="5">
      <c r="A5" s="24" t="inlineStr">
        <is>
          <t>A</t>
        </is>
      </c>
      <c r="B5" s="24" t="inlineStr">
        <is>
          <t>OK</t>
        </is>
      </c>
      <c r="C5" s="24" t="inlineStr">
        <is>
          <t>REJECT</t>
        </is>
      </c>
      <c r="D5" s="24" t="inlineStr">
        <is>
          <t>REWORK</t>
        </is>
      </c>
    </row>
    <row r="6">
      <c r="A6" s="24" t="inlineStr">
        <is>
          <t>B</t>
        </is>
      </c>
      <c r="B6" s="24" t="inlineStr">
        <is>
          <t>HOLD</t>
        </is>
      </c>
      <c r="C6" s="24" t="inlineStr">
        <is>
          <t>REWORK-OK</t>
        </is>
      </c>
      <c r="D6" s="24" t="inlineStr">
        <is>
          <t>SCRAP</t>
        </is>
      </c>
    </row>
    <row r="7">
      <c r="A7" s="24" t="inlineStr">
        <is>
          <t>C</t>
        </is>
      </c>
      <c r="B7" s="24" t="n"/>
      <c r="C7" s="24" t="inlineStr">
        <is>
          <t>REWORK-SCRAP</t>
        </is>
      </c>
      <c r="D7" s="24" t="inlineStr">
        <is>
          <t>RETURN-TO-STORES</t>
        </is>
      </c>
    </row>
    <row r="8">
      <c r="A8" s="24" t="inlineStr">
        <is>
          <t>GENERAL</t>
        </is>
      </c>
      <c r="B8" s="24" t="n"/>
      <c r="C8" s="24" t="n"/>
      <c r="D8" s="24" t="inlineStr">
        <is>
          <t>USE-AS-IS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2026-10-27T11:13:28Z</dcterms:created>
  <dcterms:modified xmlns:dcterms="http://purl.org/dc/terms/" xmlns:xsi="http://www.w3.org/2001/XMLSchema-instance" xsi:type="dcterms:W3CDTF">2026-10-27T11:13:28Z</dcterms:modified>
</cp:coreProperties>
</file>